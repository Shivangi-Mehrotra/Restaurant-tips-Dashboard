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9286D73-074C-441A-8B00-FD224B1FAD5F}" xr6:coauthVersionLast="47" xr6:coauthVersionMax="47" xr10:uidLastSave="{00000000-0000-0000-0000-000000000000}"/>
  <bookViews>
    <workbookView xWindow="-120" yWindow="-120" windowWidth="20730" windowHeight="11040" activeTab="3" xr2:uid="{E39F1B53-3127-4D6C-88BD-079CCE5E8692}"/>
  </bookViews>
  <sheets>
    <sheet name="tips" sheetId="1" r:id="rId1"/>
    <sheet name="Working" sheetId="3" r:id="rId2"/>
    <sheet name="Home" sheetId="6" r:id="rId3"/>
    <sheet name="Dashboard" sheetId="8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8" l="1"/>
  <c r="H4" i="8"/>
  <c r="I4" i="8"/>
  <c r="J4" i="8"/>
  <c r="K4" i="8"/>
  <c r="L4" i="8"/>
  <c r="M4" i="8"/>
  <c r="N4" i="8"/>
  <c r="G5" i="8"/>
  <c r="H5" i="8"/>
  <c r="I5" i="8"/>
  <c r="J5" i="8"/>
  <c r="K5" i="8"/>
  <c r="L5" i="8"/>
  <c r="M5" i="8"/>
  <c r="N5" i="8"/>
  <c r="G6" i="8"/>
  <c r="H6" i="8"/>
  <c r="I6" i="8"/>
  <c r="J6" i="8"/>
  <c r="K6" i="8"/>
  <c r="L6" i="8"/>
  <c r="M6" i="8"/>
  <c r="N6" i="8"/>
  <c r="G7" i="8"/>
  <c r="H7" i="8"/>
  <c r="I7" i="8"/>
  <c r="J7" i="8"/>
  <c r="K7" i="8"/>
  <c r="L7" i="8"/>
  <c r="M7" i="8"/>
  <c r="G8" i="8"/>
  <c r="H8" i="8"/>
  <c r="I8" i="8"/>
  <c r="J8" i="8"/>
  <c r="K8" i="8"/>
  <c r="L8" i="8"/>
  <c r="M8" i="8"/>
  <c r="N8" i="8"/>
  <c r="G9" i="8"/>
  <c r="H9" i="8"/>
  <c r="I9" i="8"/>
  <c r="J9" i="8"/>
  <c r="K9" i="8"/>
  <c r="L9" i="8"/>
  <c r="M9" i="8"/>
  <c r="N9" i="8"/>
  <c r="G10" i="8"/>
  <c r="H10" i="8"/>
  <c r="I10" i="8"/>
  <c r="J10" i="8"/>
  <c r="K10" i="8"/>
  <c r="L10" i="8"/>
  <c r="M10" i="8"/>
  <c r="N10" i="8"/>
  <c r="H3" i="8"/>
  <c r="I3" i="8"/>
  <c r="J3" i="8"/>
  <c r="K3" i="8"/>
  <c r="L3" i="8"/>
  <c r="M3" i="8"/>
  <c r="G3" i="8"/>
  <c r="AM245" i="3"/>
  <c r="AM244" i="3"/>
  <c r="AM243" i="3"/>
  <c r="AM242" i="3"/>
  <c r="AM241" i="3"/>
  <c r="AM240" i="3"/>
  <c r="AM239" i="3"/>
  <c r="AM238" i="3"/>
  <c r="AM237" i="3"/>
  <c r="AM236" i="3"/>
  <c r="AM235" i="3"/>
  <c r="AM234" i="3"/>
  <c r="AM233" i="3"/>
  <c r="AM232" i="3"/>
  <c r="AM231" i="3"/>
  <c r="AM230" i="3"/>
  <c r="AM229" i="3"/>
  <c r="AM228" i="3"/>
  <c r="AM227" i="3"/>
  <c r="AM226" i="3"/>
  <c r="AM225" i="3"/>
  <c r="AM224" i="3"/>
  <c r="AM223" i="3"/>
  <c r="AM222" i="3"/>
  <c r="AM221" i="3"/>
  <c r="AM220" i="3"/>
  <c r="AM219" i="3"/>
  <c r="AM218" i="3"/>
  <c r="AM217" i="3"/>
  <c r="AM216" i="3"/>
  <c r="AM215" i="3"/>
  <c r="AM214" i="3"/>
  <c r="AM213" i="3"/>
  <c r="AM212" i="3"/>
  <c r="AM211" i="3"/>
  <c r="AM210" i="3"/>
  <c r="AM209" i="3"/>
  <c r="AM208" i="3"/>
  <c r="AM207" i="3"/>
  <c r="AM206" i="3"/>
  <c r="AM205" i="3"/>
  <c r="AM204" i="3"/>
  <c r="AM203" i="3"/>
  <c r="AM202" i="3"/>
  <c r="AM201" i="3"/>
  <c r="AM200" i="3"/>
  <c r="AM199" i="3"/>
  <c r="AM198" i="3"/>
  <c r="AM197" i="3"/>
  <c r="AM196" i="3"/>
  <c r="AM195" i="3"/>
  <c r="AM194" i="3"/>
  <c r="AM193" i="3"/>
  <c r="AM192" i="3"/>
  <c r="AM191" i="3"/>
  <c r="AM190" i="3"/>
  <c r="AM189" i="3"/>
  <c r="AM188" i="3"/>
  <c r="AM187" i="3"/>
  <c r="AM186" i="3"/>
  <c r="AM185" i="3"/>
  <c r="AM184" i="3"/>
  <c r="AM183" i="3"/>
  <c r="AM182" i="3"/>
  <c r="AM181" i="3"/>
  <c r="AM180" i="3"/>
  <c r="AM179" i="3"/>
  <c r="AM178" i="3"/>
  <c r="AM177" i="3"/>
  <c r="AM176" i="3"/>
  <c r="AM175" i="3"/>
  <c r="AM174" i="3"/>
  <c r="AM173" i="3"/>
  <c r="AM172" i="3"/>
  <c r="AM171" i="3"/>
  <c r="AM170" i="3"/>
  <c r="AM169" i="3"/>
  <c r="AM168" i="3"/>
  <c r="AM167" i="3"/>
  <c r="AM166" i="3"/>
  <c r="AM165" i="3"/>
  <c r="AM164" i="3"/>
  <c r="AM163" i="3"/>
  <c r="AM162" i="3"/>
  <c r="AM161" i="3"/>
  <c r="AM160" i="3"/>
  <c r="AM159" i="3"/>
  <c r="AM158" i="3"/>
  <c r="AM157" i="3"/>
  <c r="AM156" i="3"/>
  <c r="AM155" i="3"/>
  <c r="AM154" i="3"/>
  <c r="AM153" i="3"/>
  <c r="AM152" i="3"/>
  <c r="AM151" i="3"/>
  <c r="AM150" i="3"/>
  <c r="AM149" i="3"/>
  <c r="AM148" i="3"/>
  <c r="AM147" i="3"/>
  <c r="AM146" i="3"/>
  <c r="AM145" i="3"/>
  <c r="AM144" i="3"/>
  <c r="AM143" i="3"/>
  <c r="AM142" i="3"/>
  <c r="AM141" i="3"/>
  <c r="AM140" i="3"/>
  <c r="AM139" i="3"/>
  <c r="AM138" i="3"/>
  <c r="AM137" i="3"/>
  <c r="AM136" i="3"/>
  <c r="AM135" i="3"/>
  <c r="AM134" i="3"/>
  <c r="AM133" i="3"/>
  <c r="AM132" i="3"/>
  <c r="AM131" i="3"/>
  <c r="AM130" i="3"/>
  <c r="AM129" i="3"/>
  <c r="AM128" i="3"/>
  <c r="AM127" i="3"/>
  <c r="AM126" i="3"/>
  <c r="AM125" i="3"/>
  <c r="AM124" i="3"/>
  <c r="AM123" i="3"/>
  <c r="AM122" i="3"/>
  <c r="AM121" i="3"/>
  <c r="AM120" i="3"/>
  <c r="AM119" i="3"/>
  <c r="AM118" i="3"/>
  <c r="AM117" i="3"/>
  <c r="AM116" i="3"/>
  <c r="AM115" i="3"/>
  <c r="AM114" i="3"/>
  <c r="AM113" i="3"/>
  <c r="AM112" i="3"/>
  <c r="AM111" i="3"/>
  <c r="AM110" i="3"/>
  <c r="AM109" i="3"/>
  <c r="AM108" i="3"/>
  <c r="AM107" i="3"/>
  <c r="AM106" i="3"/>
  <c r="AM105" i="3"/>
  <c r="AM104" i="3"/>
  <c r="AM103" i="3"/>
  <c r="AM102" i="3"/>
  <c r="AM101" i="3"/>
  <c r="AM100" i="3"/>
  <c r="AM99" i="3"/>
  <c r="AM98" i="3"/>
  <c r="AM97" i="3"/>
  <c r="AM96" i="3"/>
  <c r="AM95" i="3"/>
  <c r="AM94" i="3"/>
  <c r="AM93" i="3"/>
  <c r="AM92" i="3"/>
  <c r="AM91" i="3"/>
  <c r="AM90" i="3"/>
  <c r="AM89" i="3"/>
  <c r="AM88" i="3"/>
  <c r="AM87" i="3"/>
  <c r="AM86" i="3"/>
  <c r="AM85" i="3"/>
  <c r="AM84" i="3"/>
  <c r="AM83" i="3"/>
  <c r="AM82" i="3"/>
  <c r="AM81" i="3"/>
  <c r="AM80" i="3"/>
  <c r="AM79" i="3"/>
  <c r="AM78" i="3"/>
  <c r="AM77" i="3"/>
  <c r="AM76" i="3"/>
  <c r="AM75" i="3"/>
  <c r="AM74" i="3"/>
  <c r="AM73" i="3"/>
  <c r="AM72" i="3"/>
  <c r="AM71" i="3"/>
  <c r="AM70" i="3"/>
  <c r="AM69" i="3"/>
  <c r="AM68" i="3"/>
  <c r="AM67" i="3"/>
  <c r="AM66" i="3"/>
  <c r="AM65" i="3"/>
  <c r="AM64" i="3"/>
  <c r="AM63" i="3"/>
  <c r="AM62" i="3"/>
  <c r="AM61" i="3"/>
  <c r="AM60" i="3"/>
  <c r="AM59" i="3"/>
  <c r="AM58" i="3"/>
  <c r="AM57" i="3"/>
  <c r="AM56" i="3"/>
  <c r="AM55" i="3"/>
  <c r="AM54" i="3"/>
  <c r="AM53" i="3"/>
  <c r="AM52" i="3"/>
  <c r="AM51" i="3"/>
  <c r="AM50" i="3"/>
  <c r="AM49" i="3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N7" i="8" s="1"/>
  <c r="AM5" i="3"/>
  <c r="AM4" i="3"/>
  <c r="AM3" i="3"/>
  <c r="AM2" i="3"/>
  <c r="N3" i="8" s="1"/>
  <c r="AB246" i="3"/>
  <c r="AB247" i="3"/>
  <c r="AA3" i="3" l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" i="3"/>
  <c r="AA247" i="3" l="1"/>
  <c r="AA246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" i="1"/>
</calcChain>
</file>

<file path=xl/sharedStrings.xml><?xml version="1.0" encoding="utf-8"?>
<sst xmlns="http://schemas.openxmlformats.org/spreadsheetml/2006/main" count="2168" uniqueCount="99">
  <si>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</si>
  <si>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</si>
  <si>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</si>
  <si>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</si>
  <si>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</si>
  <si>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</si>
  <si>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</si>
  <si>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</si>
  <si>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</si>
  <si>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</si>
  <si>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</si>
  <si>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</si>
  <si>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</si>
  <si>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</si>
  <si>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</si>
  <si>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</si>
  <si>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</si>
  <si>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</si>
  <si>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</si>
  <si>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</si>
  <si>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</si>
  <si>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</si>
  <si>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</si>
  <si>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</si>
  <si>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</si>
  <si>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</si>
  <si>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Sex</t>
  </si>
  <si>
    <t>Smoker</t>
  </si>
  <si>
    <t>Day</t>
  </si>
  <si>
    <t>Time</t>
  </si>
  <si>
    <t>Sex2</t>
  </si>
  <si>
    <t>Smoker3</t>
  </si>
  <si>
    <t>Day4</t>
  </si>
  <si>
    <t>Sum of tip</t>
  </si>
  <si>
    <t>Row Labels</t>
  </si>
  <si>
    <t>Grand Total</t>
  </si>
  <si>
    <t>Value in US$</t>
  </si>
  <si>
    <t>Tip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</si>
  <si>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</si>
  <si>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</si>
  <si>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</si>
  <si>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</si>
  <si>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</si>
  <si>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</si>
  <si>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</si>
  <si>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</si>
  <si>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</si>
  <si>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</si>
  <si>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</si>
  <si>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</si>
  <si>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</si>
  <si>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</si>
  <si>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</si>
  <si>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</si>
  <si>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</si>
  <si>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</si>
  <si>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</si>
  <si>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</si>
  <si>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</si>
  <si>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</si>
  <si>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</si>
  <si>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</si>
  <si>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 = b0 + b1X1 + b2X2 + ... + bnXn</t>
  </si>
  <si>
    <t>Where:</t>
  </si>
  <si>
    <r>
      <t>Y:</t>
    </r>
    <r>
      <rPr>
        <sz val="11"/>
        <color theme="1"/>
        <rFont val="Calibri"/>
        <family val="2"/>
        <scheme val="minor"/>
      </rPr>
      <t xml:space="preserve"> The dependent variable (the variable you're trying to predict - in your case, "Tip")</t>
    </r>
  </si>
  <si>
    <r>
      <t>b0:</t>
    </r>
    <r>
      <rPr>
        <sz val="11"/>
        <color theme="1"/>
        <rFont val="Calibri"/>
        <family val="2"/>
        <scheme val="minor"/>
      </rPr>
      <t xml:space="preserve"> The intercept (the value of Y when all independent variables are 0)</t>
    </r>
  </si>
  <si>
    <r>
      <t>b1, b2, ..., bn:</t>
    </r>
    <r>
      <rPr>
        <sz val="11"/>
        <color theme="1"/>
        <rFont val="Calibri"/>
        <family val="2"/>
        <scheme val="minor"/>
      </rPr>
      <t xml:space="preserve"> The coefficients for each independent variable</t>
    </r>
  </si>
  <si>
    <r>
      <t>X1, X2, ..., Xn:</t>
    </r>
    <r>
      <rPr>
        <sz val="11"/>
        <color theme="1"/>
        <rFont val="Calibri"/>
        <family val="2"/>
        <scheme val="minor"/>
      </rPr>
      <t xml:space="preserve"> The independent variables (the variables used to predict Y - in your case, "Sex," "Smoker," "Day," "Time," "Size," and "Total Bill")</t>
    </r>
  </si>
  <si>
    <t>Constructing the Equation</t>
  </si>
  <si>
    <r>
      <t>1. Identify the coefficients and intercept:</t>
    </r>
    <r>
      <rPr>
        <sz val="11"/>
        <color theme="1"/>
        <rFont val="Calibri"/>
        <family val="2"/>
        <scheme val="minor"/>
      </rPr>
      <t xml:space="preserve"> Look at the output of your regression analysis in Excel. You'll find the intercept listed as "Intercept" and the coefficients for each independent variable listed in the "Coefficients" table.</t>
    </r>
  </si>
  <si>
    <r>
      <t>2. Plug the values into the equation:</t>
    </r>
    <r>
      <rPr>
        <sz val="11"/>
        <color theme="1"/>
        <rFont val="Calibri"/>
        <family val="2"/>
        <scheme val="minor"/>
      </rPr>
      <t xml:space="preserve"> Substitute the intercept and coefficients into the general equation.</t>
    </r>
  </si>
  <si>
    <t>Example</t>
  </si>
  <si>
    <t>Let's say your regression analysis produced the following results:</t>
  </si>
  <si>
    <r>
      <t>Intercept:</t>
    </r>
    <r>
      <rPr>
        <sz val="11"/>
        <color theme="1"/>
        <rFont val="Calibri"/>
        <family val="2"/>
        <scheme val="minor"/>
      </rPr>
      <t xml:space="preserve"> 0.5</t>
    </r>
  </si>
  <si>
    <r>
      <t>Coefficient for Sex (Male = 1, Female = 0):</t>
    </r>
    <r>
      <rPr>
        <sz val="11"/>
        <color theme="1"/>
        <rFont val="Calibri"/>
        <family val="2"/>
        <scheme val="minor"/>
      </rPr>
      <t xml:space="preserve"> 0.2</t>
    </r>
  </si>
  <si>
    <r>
      <t>Coefficient for Smoker (Yes = 1, No = 0):</t>
    </r>
    <r>
      <rPr>
        <sz val="11"/>
        <color theme="1"/>
        <rFont val="Calibri"/>
        <family val="2"/>
        <scheme val="minor"/>
      </rPr>
      <t xml:space="preserve"> -0.3</t>
    </r>
  </si>
  <si>
    <r>
      <t>Coefficient for Day (Sunday = 1, Monday = 2, etc.):</t>
    </r>
    <r>
      <rPr>
        <sz val="11"/>
        <color theme="1"/>
        <rFont val="Calibri"/>
        <family val="2"/>
        <scheme val="minor"/>
      </rPr>
      <t xml:space="preserve"> 0.1</t>
    </r>
  </si>
  <si>
    <r>
      <t>Coefficient for Time (Lunch = 1, Dinner = 0):</t>
    </r>
    <r>
      <rPr>
        <sz val="11"/>
        <color theme="1"/>
        <rFont val="Calibri"/>
        <family val="2"/>
        <scheme val="minor"/>
      </rPr>
      <t xml:space="preserve"> -0.2</t>
    </r>
  </si>
  <si>
    <r>
      <t>Coefficient for Size:</t>
    </r>
    <r>
      <rPr>
        <sz val="11"/>
        <color theme="1"/>
        <rFont val="Calibri"/>
        <family val="2"/>
        <scheme val="minor"/>
      </rPr>
      <t xml:space="preserve"> 0.15</t>
    </r>
  </si>
  <si>
    <r>
      <t>Coefficient for Total Bill:</t>
    </r>
    <r>
      <rPr>
        <sz val="11"/>
        <color theme="1"/>
        <rFont val="Calibri"/>
        <family val="2"/>
        <scheme val="minor"/>
      </rPr>
      <t xml:space="preserve"> 0.1</t>
    </r>
  </si>
  <si>
    <t>Your regression equation would be:</t>
  </si>
  <si>
    <t>Tip = 0.5 + 0.2(Sex) - 0.3(Smoker) + 0.1(Day) - 0.2(Time) + 0.15(Size) + 0.1(Total Bill)</t>
  </si>
  <si>
    <t>Using the Equation for Prediction</t>
  </si>
  <si>
    <t>To predict the tip amount for a new customer, simply plug in their values for the independent variables into the equation.</t>
  </si>
  <si>
    <t>Let's predict the tip for a male customer who is a non-smoker, visiting on a Wednesday (Day = 3) for dinner (Time = 0), with a group size of 4, and a total bill of $50.</t>
  </si>
  <si>
    <t>Tip = 0.5 + 0.2(1) - 0.3(0) + 0.1(3) - 0.2(0) + 0.15(4) + 0.1(50)</t>
  </si>
  <si>
    <t>Tip = 0.5 + 0.2 + 0.3 + 0.6 + 5</t>
  </si>
  <si>
    <t>Tip = $6.60</t>
  </si>
  <si>
    <t>So, based on your regression model, you would predict a tip of $6.60 for this customer.</t>
  </si>
  <si>
    <t>Important Notes:</t>
  </si>
  <si>
    <t>Remember that this is just a prediction based on your model. Actual tip amounts can vary due to factors not included in your analysis.</t>
  </si>
  <si>
    <t>The accuracy of your predictions depends on the quality of your data and the fit of your regression model.</t>
  </si>
  <si>
    <t>If you have the specific coefficients and intercept from your analysis, feel free to share them, and I can help you construct the exact equation for your data!</t>
  </si>
  <si>
    <t>Size</t>
  </si>
  <si>
    <t>Total Bill</t>
  </si>
  <si>
    <t>Predicted Tip</t>
  </si>
  <si>
    <t>Time2</t>
  </si>
  <si>
    <t>Sum</t>
  </si>
  <si>
    <t>Average of predicted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</si>
</sst>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-0.499984740745262"/>
        <bgColor theme="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Continuous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wrapText="1"/>
    </xf>
    <xf numFmtId="0" fontId="2" fillId="2" borderId="7" xfId="0" applyFont="1" applyFill="1" applyBorder="1" applyAlignment="1">
      <alignment horizontal="center"/>
    </xf>
    <xf numFmtId="0" fontId="0" fillId="2" borderId="0" xfId="0" applyFill="1"/>
    <xf numFmtId="0" fontId="0" fillId="2" borderId="6" xfId="0" applyFill="1" applyBorder="1"/>
    <xf numFmtId="0" fontId="0" fillId="3" borderId="0" xfId="0" applyFill="1"/>
    <xf numFmtId="0" fontId="0" fillId="4" borderId="0" xfId="0" applyFill="1"/>
    <xf numFmtId="0" fontId="0" fillId="0" borderId="9" xfId="0" applyBorder="1"/>
    <xf numFmtId="0" fontId="0" fillId="0" borderId="10" xfId="0" applyBorder="1"/>
    <xf numFmtId="0" fontId="6" fillId="5" borderId="9" xfId="0" applyFont="1" applyFill="1" applyBorder="1"/>
    <xf numFmtId="0" fontId="6" fillId="5" borderId="2" xfId="0" applyFont="1" applyFill="1" applyBorder="1"/>
    <xf numFmtId="164" fontId="4" fillId="0" borderId="11" xfId="1" applyFont="1" applyFill="1" applyBorder="1" applyAlignment="1">
      <alignment wrapText="1"/>
    </xf>
    <xf numFmtId="0" fontId="7" fillId="3" borderId="7" xfId="0" applyFont="1" applyFill="1" applyBorder="1" applyAlignment="1">
      <alignment horizontal="center"/>
    </xf>
    <xf numFmtId="0" fontId="8" fillId="3" borderId="0" xfId="0" applyFont="1" applyFill="1"/>
    <xf numFmtId="0" fontId="8" fillId="0" borderId="0" xfId="0" applyFont="1"/>
    <xf numFmtId="0" fontId="8" fillId="3" borderId="6" xfId="0" applyFont="1" applyFill="1" applyBorder="1"/>
    <xf numFmtId="0" fontId="8" fillId="0" borderId="6" xfId="0" applyFont="1" applyBorder="1"/>
    <xf numFmtId="0" fontId="6" fillId="6" borderId="9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9" fillId="3" borderId="0" xfId="0" applyFont="1" applyFill="1"/>
  </cellXfs>
  <cellStyles count="2">
    <cellStyle name="Currency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 dashboard.xlsx]Working!PivotTable1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Working!$B$3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B4-4006-9730-3EF3B721C4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B4-4006-9730-3EF3B721C4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Working!$A$4:$A$6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Working!$B$4:$B$6</c:f>
              <c:numCache>
                <c:formatCode>General</c:formatCode>
                <c:ptCount val="2"/>
                <c:pt idx="0">
                  <c:v>246.51</c:v>
                </c:pt>
                <c:pt idx="1">
                  <c:v>485.07000000000011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4-4006-9730-3EF3B721C4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 dashboard.xlsx]Working!PivotTable2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Tip by Gender</a:t>
            </a:r>
            <a:r>
              <a:rPr lang="en-U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&amp; Time</a:t>
            </a: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Working!$E$1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Working!$E$1</c:f>
              <c:multiLvlStrCache>
                <c:ptCount val="4"/>
                <c:lvl>
                  <c:pt idx="0">
                    <c:v>Dinner</c:v>
                  </c:pt>
                  <c:pt idx="1">
                    <c:v>Lunch</c:v>
                  </c:pt>
                  <c:pt idx="2">
                    <c:v>Dinner</c:v>
                  </c:pt>
                  <c:pt idx="3">
                    <c:v>Lunch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Working!$E$1</c:f>
              <c:numCache>
                <c:formatCode>General</c:formatCode>
                <c:ptCount val="4"/>
                <c:pt idx="0">
                  <c:v>156.10999999999999</c:v>
                </c:pt>
                <c:pt idx="1">
                  <c:v>90.40000000000002</c:v>
                </c:pt>
                <c:pt idx="2">
                  <c:v>389.96000000000004</c:v>
                </c:pt>
                <c:pt idx="3">
                  <c:v>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6-44BF-8442-E62540B19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7281120"/>
        <c:axId val="1607282080"/>
      </c:barChart>
      <c:catAx>
        <c:axId val="160728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82080"/>
        <c:crosses val="autoZero"/>
        <c:auto val="1"/>
        <c:lblAlgn val="ctr"/>
        <c:lblOffset val="100"/>
        <c:noMultiLvlLbl val="0"/>
      </c:catAx>
      <c:valAx>
        <c:axId val="1607282080"/>
        <c:scaling>
          <c:orientation val="minMax"/>
        </c:scaling>
        <c:delete val="0"/>
        <c:axPos val="b"/>
        <c:title>
          <c:tx>
            <c:strRef>
              <c:f>Working!$E$1</c:f>
              <c:strCache>
                <c:ptCount val="1"/>
                <c:pt idx="0">
                  <c:v>Value in US$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8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 dashboard.xlsx]Working!PivotTable1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50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Working!$B$3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9A-4114-82A0-B5AF66ADE5D0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9A-4114-82A0-B5AF66ADE5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Working!$A$4:$A$6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Working!$B$4:$B$6</c:f>
              <c:numCache>
                <c:formatCode>General</c:formatCode>
                <c:ptCount val="2"/>
                <c:pt idx="0">
                  <c:v>246.51</c:v>
                </c:pt>
                <c:pt idx="1">
                  <c:v>485.07000000000011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9A-4114-82A0-B5AF66ADE5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 dashboard.xlsx]Working!PivotTable2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Tip by Gender</a:t>
            </a:r>
            <a:r>
              <a:rPr lang="en-U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&amp; Time</a:t>
            </a: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Working!$E$1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AF9-4616-A980-8CF3CB31A64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AF9-4616-A980-8CF3CB31A64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F9-4616-A980-8CF3CB31A64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F9-4616-A980-8CF3CB31A644}"/>
              </c:ext>
            </c:extLst>
          </c:dPt>
          <c:cat>
            <c:multiLvlStrRef>
              <c:f>Working!$E$1</c:f>
              <c:multiLvlStrCache>
                <c:ptCount val="4"/>
                <c:lvl>
                  <c:pt idx="0">
                    <c:v>Dinner</c:v>
                  </c:pt>
                  <c:pt idx="1">
                    <c:v>Lunch</c:v>
                  </c:pt>
                  <c:pt idx="2">
                    <c:v>Dinner</c:v>
                  </c:pt>
                  <c:pt idx="3">
                    <c:v>Lunch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Working!$E$1</c:f>
              <c:numCache>
                <c:formatCode>General</c:formatCode>
                <c:ptCount val="4"/>
                <c:pt idx="0">
                  <c:v>156.10999999999999</c:v>
                </c:pt>
                <c:pt idx="1">
                  <c:v>90.40000000000002</c:v>
                </c:pt>
                <c:pt idx="2">
                  <c:v>389.96000000000004</c:v>
                </c:pt>
                <c:pt idx="3">
                  <c:v>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9-4616-A980-8CF3CB31A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7281120"/>
        <c:axId val="1607282080"/>
      </c:barChart>
      <c:catAx>
        <c:axId val="160728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82080"/>
        <c:crosses val="autoZero"/>
        <c:auto val="1"/>
        <c:lblAlgn val="ctr"/>
        <c:lblOffset val="100"/>
        <c:noMultiLvlLbl val="0"/>
      </c:catAx>
      <c:valAx>
        <c:axId val="1607282080"/>
        <c:scaling>
          <c:orientation val="minMax"/>
        </c:scaling>
        <c:delete val="0"/>
        <c:axPos val="b"/>
        <c:title>
          <c:tx>
            <c:strRef>
              <c:f>Working!$E$1</c:f>
              <c:strCache>
                <c:ptCount val="1"/>
                <c:pt idx="0">
                  <c:v>Value in US$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8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Working!$AV$6" max="236" page="10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Home!A1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7</xdr:row>
      <xdr:rowOff>176212</xdr:rowOff>
    </xdr:from>
    <xdr:to>
      <xdr:col>4</xdr:col>
      <xdr:colOff>209549</xdr:colOff>
      <xdr:row>22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75D94E-D629-961D-E011-4BDB6DC7B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261937</xdr:colOff>
      <xdr:row>21</xdr:row>
      <xdr:rowOff>33337</xdr:rowOff>
    </xdr:from>
    <xdr:to>
      <xdr:col>6</xdr:col>
      <xdr:colOff>585787</xdr:colOff>
      <xdr:row>35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6DE2C-6AA1-71A7-AB86-7E5D7E1E7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5</xdr:row>
      <xdr:rowOff>104776</xdr:rowOff>
    </xdr:from>
    <xdr:to>
      <xdr:col>8</xdr:col>
      <xdr:colOff>57151</xdr:colOff>
      <xdr:row>7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3402F8-A337-450C-8685-DABCB73035F0}"/>
            </a:ext>
          </a:extLst>
        </xdr:cNvPr>
        <xdr:cNvSpPr txBox="1"/>
      </xdr:nvSpPr>
      <xdr:spPr>
        <a:xfrm>
          <a:off x="19051" y="1057276"/>
          <a:ext cx="4914900" cy="390524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Business Analytics with Excel Certification Training </a:t>
          </a:r>
        </a:p>
      </xdr:txBody>
    </xdr:sp>
    <xdr:clientData/>
  </xdr:twoCellAnchor>
  <xdr:twoCellAnchor>
    <xdr:from>
      <xdr:col>0</xdr:col>
      <xdr:colOff>9525</xdr:colOff>
      <xdr:row>9</xdr:row>
      <xdr:rowOff>28574</xdr:rowOff>
    </xdr:from>
    <xdr:to>
      <xdr:col>10</xdr:col>
      <xdr:colOff>457200</xdr:colOff>
      <xdr:row>12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7BCCC9-E0F0-4C18-AE12-4382F51C0CE4}"/>
            </a:ext>
          </a:extLst>
        </xdr:cNvPr>
        <xdr:cNvSpPr txBox="1"/>
      </xdr:nvSpPr>
      <xdr:spPr>
        <a:xfrm>
          <a:off x="9525" y="1743074"/>
          <a:ext cx="6543675" cy="67627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/>
            <a:t>Predicting Restaurant Tips</a:t>
          </a:r>
        </a:p>
      </xdr:txBody>
    </xdr:sp>
    <xdr:clientData/>
  </xdr:twoCellAnchor>
  <xdr:twoCellAnchor>
    <xdr:from>
      <xdr:col>0</xdr:col>
      <xdr:colOff>0</xdr:colOff>
      <xdr:row>14</xdr:row>
      <xdr:rowOff>38100</xdr:rowOff>
    </xdr:from>
    <xdr:to>
      <xdr:col>18</xdr:col>
      <xdr:colOff>219075</xdr:colOff>
      <xdr:row>17</xdr:row>
      <xdr:rowOff>47625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9CA30C-DCD2-42AF-9B88-6B17E8B36CE4}"/>
            </a:ext>
          </a:extLst>
        </xdr:cNvPr>
        <xdr:cNvSpPr/>
      </xdr:nvSpPr>
      <xdr:spPr>
        <a:xfrm>
          <a:off x="0" y="2705100"/>
          <a:ext cx="11191875" cy="58102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Lets dive into the analysis</a:t>
          </a:r>
        </a:p>
      </xdr:txBody>
    </xdr:sp>
    <xdr:clientData/>
  </xdr:twoCellAnchor>
  <xdr:twoCellAnchor editAs="oneCell">
    <xdr:from>
      <xdr:col>15</xdr:col>
      <xdr:colOff>114300</xdr:colOff>
      <xdr:row>5</xdr:row>
      <xdr:rowOff>57150</xdr:rowOff>
    </xdr:from>
    <xdr:to>
      <xdr:col>16</xdr:col>
      <xdr:colOff>419100</xdr:colOff>
      <xdr:row>10</xdr:row>
      <xdr:rowOff>19050</xdr:rowOff>
    </xdr:to>
    <xdr:pic>
      <xdr:nvPicPr>
        <xdr:cNvPr id="5" name="Graphic 4" descr="Home">
          <a:extLst>
            <a:ext uri="{FF2B5EF4-FFF2-40B4-BE49-F238E27FC236}">
              <a16:creationId xmlns:a16="http://schemas.microsoft.com/office/drawing/2014/main" id="{7EF34250-62C5-4BEF-A8E5-522C195EA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258300" y="1009650"/>
          <a:ext cx="914400" cy="914400"/>
        </a:xfrm>
        <a:prstGeom prst="rect">
          <a:avLst/>
        </a:prstGeom>
      </xdr:spPr>
    </xdr:pic>
    <xdr:clientData/>
  </xdr:twoCellAnchor>
  <xdr:twoCellAnchor>
    <xdr:from>
      <xdr:col>16</xdr:col>
      <xdr:colOff>495300</xdr:colOff>
      <xdr:row>18</xdr:row>
      <xdr:rowOff>123825</xdr:rowOff>
    </xdr:from>
    <xdr:to>
      <xdr:col>20</xdr:col>
      <xdr:colOff>247650</xdr:colOff>
      <xdr:row>20</xdr:row>
      <xdr:rowOff>133349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A896FD-9BA5-4817-8F35-858044A5D8A3}"/>
            </a:ext>
          </a:extLst>
        </xdr:cNvPr>
        <xdr:cNvSpPr txBox="1"/>
      </xdr:nvSpPr>
      <xdr:spPr>
        <a:xfrm>
          <a:off x="10248900" y="3552825"/>
          <a:ext cx="2190750" cy="390524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- Shivangi</a:t>
          </a:r>
          <a:r>
            <a:rPr lang="en-US" sz="1800" baseline="0"/>
            <a:t> Mehrotra</a:t>
          </a:r>
          <a:endParaRPr lang="en-US" sz="1800"/>
        </a:p>
      </xdr:txBody>
    </xdr:sp>
    <xdr:clientData/>
  </xdr:twoCellAnchor>
  <xdr:twoCellAnchor editAs="oneCell">
    <xdr:from>
      <xdr:col>17</xdr:col>
      <xdr:colOff>28574</xdr:colOff>
      <xdr:row>0</xdr:row>
      <xdr:rowOff>142875</xdr:rowOff>
    </xdr:from>
    <xdr:to>
      <xdr:col>20</xdr:col>
      <xdr:colOff>114299</xdr:colOff>
      <xdr:row>3</xdr:row>
      <xdr:rowOff>127784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4E6027-7DA3-4FD5-8B05-3A19A0C81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1774" y="142875"/>
          <a:ext cx="1914525" cy="5564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47625</xdr:rowOff>
    </xdr:from>
    <xdr:to>
      <xdr:col>4</xdr:col>
      <xdr:colOff>428625</xdr:colOff>
      <xdr:row>3</xdr:row>
      <xdr:rowOff>76200</xdr:rowOff>
    </xdr:to>
    <xdr:pic>
      <xdr:nvPicPr>
        <xdr:cNvPr id="2" name="Graphic 1" descr="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2AF9C7-C94F-4D98-8AFD-5874BC7AB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266950" y="47625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38100</xdr:rowOff>
    </xdr:from>
    <xdr:to>
      <xdr:col>3</xdr:col>
      <xdr:colOff>161925</xdr:colOff>
      <xdr:row>3</xdr:row>
      <xdr:rowOff>23009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AF5D3A-3E24-42B7-911F-69E67EFA2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100"/>
          <a:ext cx="1914525" cy="556409"/>
        </a:xfrm>
        <a:prstGeom prst="rect">
          <a:avLst/>
        </a:prstGeom>
      </xdr:spPr>
    </xdr:pic>
    <xdr:clientData/>
  </xdr:twoCellAnchor>
  <xdr:twoCellAnchor>
    <xdr:from>
      <xdr:col>14</xdr:col>
      <xdr:colOff>504824</xdr:colOff>
      <xdr:row>0</xdr:row>
      <xdr:rowOff>0</xdr:rowOff>
    </xdr:from>
    <xdr:to>
      <xdr:col>18</xdr:col>
      <xdr:colOff>609599</xdr:colOff>
      <xdr:row>10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D243C6F-EDC2-4C47-B869-7F4598271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85725</xdr:colOff>
      <xdr:row>10</xdr:row>
      <xdr:rowOff>66675</xdr:rowOff>
    </xdr:from>
    <xdr:to>
      <xdr:col>10</xdr:col>
      <xdr:colOff>590550</xdr:colOff>
      <xdr:row>21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FB24F8B-7E43-4617-8ADC-3C1BE1378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95250</xdr:colOff>
      <xdr:row>15</xdr:row>
      <xdr:rowOff>95249</xdr:rowOff>
    </xdr:from>
    <xdr:to>
      <xdr:col>2</xdr:col>
      <xdr:colOff>314325</xdr:colOff>
      <xdr:row>17</xdr:row>
      <xdr:rowOff>104775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B93CFEE6-AA56-1DDD-F2BE-07F0ABE0FD45}"/>
            </a:ext>
          </a:extLst>
        </xdr:cNvPr>
        <xdr:cNvGrpSpPr/>
      </xdr:nvGrpSpPr>
      <xdr:grpSpPr>
        <a:xfrm>
          <a:off x="95250" y="2962274"/>
          <a:ext cx="1438275" cy="390526"/>
          <a:chOff x="85726" y="1104899"/>
          <a:chExt cx="1466850" cy="628651"/>
        </a:xfrm>
      </xdr:grpSpPr>
      <xdr:sp macro="" textlink="Working!AB246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88B6BDF-7E48-46A6-B208-25A8DCE9B9CB}"/>
              </a:ext>
            </a:extLst>
          </xdr:cNvPr>
          <xdr:cNvSpPr/>
        </xdr:nvSpPr>
        <xdr:spPr>
          <a:xfrm>
            <a:off x="85726" y="1104899"/>
            <a:ext cx="1466850" cy="628651"/>
          </a:xfrm>
          <a:prstGeom prst="roundRect">
            <a:avLst/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D4732447-8BE4-458A-BACC-2C5C3808D390}" type="TxLink"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pPr algn="ctr"/>
              <a:t> $731.58 </a:t>
            </a:fld>
            <a:endParaRPr lang="en-US" sz="4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Working!AA246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A38EE464-D327-41B0-98C4-4CDCB39F506A}"/>
              </a:ext>
            </a:extLst>
          </xdr:cNvPr>
          <xdr:cNvSpPr/>
        </xdr:nvSpPr>
        <xdr:spPr>
          <a:xfrm>
            <a:off x="142876" y="1142999"/>
            <a:ext cx="1381124" cy="266701"/>
          </a:xfrm>
          <a:prstGeom prst="roundRect">
            <a:avLst/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t>Sum of Tip</a:t>
            </a:r>
            <a:endParaRPr lang="en-US" sz="3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390525</xdr:colOff>
      <xdr:row>18</xdr:row>
      <xdr:rowOff>66676</xdr:rowOff>
    </xdr:from>
    <xdr:to>
      <xdr:col>5</xdr:col>
      <xdr:colOff>409574</xdr:colOff>
      <xdr:row>20</xdr:row>
      <xdr:rowOff>180975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4CDC87C0-22A1-D7B8-11CD-71ED3893EBFD}"/>
            </a:ext>
          </a:extLst>
        </xdr:cNvPr>
        <xdr:cNvGrpSpPr/>
      </xdr:nvGrpSpPr>
      <xdr:grpSpPr>
        <a:xfrm>
          <a:off x="1609725" y="3505201"/>
          <a:ext cx="1847849" cy="504824"/>
          <a:chOff x="1733551" y="1104900"/>
          <a:chExt cx="1466850" cy="942976"/>
        </a:xfrm>
      </xdr:grpSpPr>
      <xdr:sp macro="" textlink="Working!AA247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EF6F8FF6-9A25-47EE-9D6F-39D6C60738D5}"/>
              </a:ext>
            </a:extLst>
          </xdr:cNvPr>
          <xdr:cNvSpPr/>
        </xdr:nvSpPr>
        <xdr:spPr>
          <a:xfrm>
            <a:off x="1733551" y="1104900"/>
            <a:ext cx="1466850" cy="942976"/>
          </a:xfrm>
          <a:prstGeom prst="roundRect">
            <a:avLst/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F999C8E-8C9A-48C4-B108-A8FC47DC473F}" type="TxLink"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pPr algn="ctr"/>
              <a:t> $2.72 </a:t>
            </a:fld>
            <a:endParaRPr lang="en-US" sz="115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Working!AA246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31B10980-B205-4C50-88EC-823F58AF83D1}"/>
              </a:ext>
            </a:extLst>
          </xdr:cNvPr>
          <xdr:cNvSpPr/>
        </xdr:nvSpPr>
        <xdr:spPr>
          <a:xfrm>
            <a:off x="1752601" y="1123951"/>
            <a:ext cx="1381124" cy="479124"/>
          </a:xfrm>
          <a:prstGeom prst="roundRect">
            <a:avLst/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t>Average of Predicted Tip</a:t>
            </a:r>
            <a:endParaRPr lang="en-US" sz="3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438150</xdr:colOff>
      <xdr:row>15</xdr:row>
      <xdr:rowOff>95249</xdr:rowOff>
    </xdr:from>
    <xdr:to>
      <xdr:col>5</xdr:col>
      <xdr:colOff>352425</xdr:colOff>
      <xdr:row>17</xdr:row>
      <xdr:rowOff>114300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E0EF8D95-8A6B-4A97-9F62-8F213472BEDB}"/>
            </a:ext>
          </a:extLst>
        </xdr:cNvPr>
        <xdr:cNvGrpSpPr/>
      </xdr:nvGrpSpPr>
      <xdr:grpSpPr>
        <a:xfrm>
          <a:off x="1657350" y="2962274"/>
          <a:ext cx="1743075" cy="400051"/>
          <a:chOff x="85726" y="1104899"/>
          <a:chExt cx="1466850" cy="628651"/>
        </a:xfrm>
        <a:solidFill>
          <a:schemeClr val="accent2">
            <a:lumMod val="75000"/>
          </a:schemeClr>
        </a:solidFill>
      </xdr:grpSpPr>
      <xdr:sp macro="" textlink="Working!AB247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E6978917-A9F1-E9C2-2380-AD1C7DE3A5FF}"/>
              </a:ext>
            </a:extLst>
          </xdr:cNvPr>
          <xdr:cNvSpPr/>
        </xdr:nvSpPr>
        <xdr:spPr>
          <a:xfrm>
            <a:off x="85726" y="1104899"/>
            <a:ext cx="1466850" cy="628651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AF24BDFF-3B84-4764-B50A-8DEC7E0C550B}" type="TxLink"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pPr algn="ctr"/>
              <a:t> $3.00 </a:t>
            </a:fld>
            <a:endParaRPr lang="en-US" sz="7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Working!AA246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BF9148ED-EE9E-707B-CB25-06DC3A8156F7}"/>
              </a:ext>
            </a:extLst>
          </xdr:cNvPr>
          <xdr:cNvSpPr/>
        </xdr:nvSpPr>
        <xdr:spPr>
          <a:xfrm>
            <a:off x="142876" y="1142999"/>
            <a:ext cx="1381124" cy="266701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t>Average of Tip</a:t>
            </a:r>
            <a:endParaRPr lang="en-US" sz="3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66676</xdr:colOff>
      <xdr:row>18</xdr:row>
      <xdr:rowOff>57150</xdr:rowOff>
    </xdr:from>
    <xdr:to>
      <xdr:col>2</xdr:col>
      <xdr:colOff>314325</xdr:colOff>
      <xdr:row>20</xdr:row>
      <xdr:rowOff>171450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A4A217D6-DD31-4AD9-9B89-D112408E4C5C}"/>
            </a:ext>
          </a:extLst>
        </xdr:cNvPr>
        <xdr:cNvGrpSpPr/>
      </xdr:nvGrpSpPr>
      <xdr:grpSpPr>
        <a:xfrm>
          <a:off x="66676" y="3495675"/>
          <a:ext cx="1466849" cy="504825"/>
          <a:chOff x="1733551" y="1104900"/>
          <a:chExt cx="1466850" cy="942976"/>
        </a:xfrm>
      </xdr:grpSpPr>
      <xdr:sp macro="" textlink="Working!AA246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041E2321-D40F-BDFA-4186-DE234D38A6FB}"/>
              </a:ext>
            </a:extLst>
          </xdr:cNvPr>
          <xdr:cNvSpPr/>
        </xdr:nvSpPr>
        <xdr:spPr>
          <a:xfrm>
            <a:off x="1733551" y="1104900"/>
            <a:ext cx="1466850" cy="942976"/>
          </a:xfrm>
          <a:prstGeom prst="roundRect">
            <a:avLst/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A109EBF7-DCF7-4739-8616-05BC580C0211}" type="TxLink"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pPr algn="ctr"/>
              <a:t> $663.99 </a:t>
            </a:fld>
            <a:endParaRPr lang="en-US" sz="7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Working!AA246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4F052588-4A38-E023-863A-58FAC99D6D5D}"/>
              </a:ext>
            </a:extLst>
          </xdr:cNvPr>
          <xdr:cNvSpPr/>
        </xdr:nvSpPr>
        <xdr:spPr>
          <a:xfrm>
            <a:off x="1752601" y="1123949"/>
            <a:ext cx="1381124" cy="479127"/>
          </a:xfrm>
          <a:prstGeom prst="roundRect">
            <a:avLst/>
          </a:prstGeom>
          <a:solidFill>
            <a:schemeClr val="accent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000" b="0" i="0" u="none" strike="noStrike">
                <a:solidFill>
                  <a:srgbClr val="000000"/>
                </a:solidFill>
                <a:latin typeface="Arial"/>
                <a:ea typeface="Calibri"/>
                <a:cs typeface="Arial"/>
              </a:rPr>
              <a:t>Sum of PredictedTip</a:t>
            </a:r>
            <a:endParaRPr lang="en-US" sz="3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114299</xdr:colOff>
      <xdr:row>3</xdr:row>
      <xdr:rowOff>104774</xdr:rowOff>
    </xdr:from>
    <xdr:to>
      <xdr:col>5</xdr:col>
      <xdr:colOff>28574</xdr:colOff>
      <xdr:row>14</xdr:row>
      <xdr:rowOff>123824</xdr:rowOff>
    </xdr:to>
    <xdr:sp macro="" textlink="">
      <xdr:nvSpPr>
        <xdr:cNvPr id="32" name="Rectangle: Top Corners Snipped 31">
          <a:extLst>
            <a:ext uri="{FF2B5EF4-FFF2-40B4-BE49-F238E27FC236}">
              <a16:creationId xmlns:a16="http://schemas.microsoft.com/office/drawing/2014/main" id="{C8B3D611-5DCF-2420-AE42-47B4ECCFAF14}"/>
            </a:ext>
          </a:extLst>
        </xdr:cNvPr>
        <xdr:cNvSpPr/>
      </xdr:nvSpPr>
      <xdr:spPr>
        <a:xfrm>
          <a:off x="114299" y="676274"/>
          <a:ext cx="2962275" cy="2124075"/>
        </a:xfrm>
        <a:prstGeom prst="snip2Same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Regression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Equation Used for predicting Tip:</a:t>
          </a:r>
        </a:p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Y = b0 + b1X1 + b2X2 + ... + bnXn</a:t>
          </a:r>
          <a:b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Y: The dependent variable (Tip)</a:t>
          </a:r>
          <a:b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b0: The intercept</a:t>
          </a:r>
          <a:b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b1, b2, ..., bn: The coefficients for each independent variable</a:t>
          </a:r>
          <a:b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X1, X2, ..., Xn: The independent variables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1</xdr:row>
          <xdr:rowOff>9525</xdr:rowOff>
        </xdr:from>
        <xdr:to>
          <xdr:col>14</xdr:col>
          <xdr:colOff>333375</xdr:colOff>
          <xdr:row>9</xdr:row>
          <xdr:rowOff>142875</xdr:rowOff>
        </xdr:to>
        <xdr:sp macro="" textlink="">
          <xdr:nvSpPr>
            <xdr:cNvPr id="3077" name="Scroll Bar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18.685930324071" createdVersion="8" refreshedVersion="8" minRefreshableVersion="3" recordCount="244" xr:uid="{807624ED-2E9D-45AE-AD1A-3DAB2DBC3836}">
  <cacheSource type="worksheet">
    <worksheetSource name="Table1"/>
  </cacheSource>
  <cacheFields count="11">
    <cacheField name="sex" numFmtId="0">
      <sharedItems count="2">
        <s v="Female"/>
        <s v="Male"/>
      </sharedItems>
    </cacheField>
    <cacheField name="smoker" numFmtId="0">
      <sharedItems/>
    </cacheField>
    <cacheField name="day" numFmtId="0">
      <sharedItems/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/>
    </cacheField>
    <cacheField name="Sex2" numFmtId="0">
      <sharedItems containsSemiMixedTypes="0" containsString="0" containsNumber="1" containsInteger="1" minValue="1" maxValue="2"/>
    </cacheField>
    <cacheField name="Smoker3" numFmtId="0">
      <sharedItems containsSemiMixedTypes="0" containsString="0" containsNumber="1" containsInteger="1" minValue="1" maxValue="2"/>
    </cacheField>
    <cacheField name="Day4" numFmtId="0">
      <sharedItems containsNonDate="0" containsString="0" containsBlank="1"/>
    </cacheField>
    <cacheField name="Dinner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s v="No"/>
    <s v="Sun"/>
    <x v="0"/>
    <n v="2"/>
    <n v="16.989999999999998"/>
    <n v="1.01"/>
    <n v="2"/>
    <n v="2"/>
    <m/>
    <n v="1"/>
  </r>
  <r>
    <x v="1"/>
    <s v="No"/>
    <s v="Sun"/>
    <x v="0"/>
    <n v="3"/>
    <n v="10.34"/>
    <n v="1.66"/>
    <n v="1"/>
    <n v="2"/>
    <m/>
    <n v="1"/>
  </r>
  <r>
    <x v="1"/>
    <s v="No"/>
    <s v="Sun"/>
    <x v="0"/>
    <n v="3"/>
    <n v="21.01"/>
    <n v="3.5"/>
    <n v="1"/>
    <n v="2"/>
    <m/>
    <n v="1"/>
  </r>
  <r>
    <x v="1"/>
    <s v="No"/>
    <s v="Sun"/>
    <x v="0"/>
    <n v="2"/>
    <n v="23.68"/>
    <n v="3.31"/>
    <n v="1"/>
    <n v="2"/>
    <m/>
    <n v="1"/>
  </r>
  <r>
    <x v="0"/>
    <s v="No"/>
    <s v="Sun"/>
    <x v="0"/>
    <n v="4"/>
    <n v="24.59"/>
    <n v="3.61"/>
    <n v="2"/>
    <n v="2"/>
    <m/>
    <n v="1"/>
  </r>
  <r>
    <x v="1"/>
    <s v="No"/>
    <s v="Sun"/>
    <x v="0"/>
    <n v="4"/>
    <n v="25.29"/>
    <n v="4.71"/>
    <n v="1"/>
    <n v="2"/>
    <m/>
    <n v="1"/>
  </r>
  <r>
    <x v="1"/>
    <s v="No"/>
    <s v="Sun"/>
    <x v="0"/>
    <n v="2"/>
    <n v="8.77"/>
    <n v="2"/>
    <n v="1"/>
    <n v="2"/>
    <m/>
    <n v="1"/>
  </r>
  <r>
    <x v="1"/>
    <s v="No"/>
    <s v="Sun"/>
    <x v="0"/>
    <n v="4"/>
    <n v="26.88"/>
    <n v="3.12"/>
    <n v="1"/>
    <n v="2"/>
    <m/>
    <n v="1"/>
  </r>
  <r>
    <x v="1"/>
    <s v="No"/>
    <s v="Sun"/>
    <x v="0"/>
    <n v="2"/>
    <n v="15.04"/>
    <n v="1.96"/>
    <n v="1"/>
    <n v="2"/>
    <m/>
    <n v="1"/>
  </r>
  <r>
    <x v="1"/>
    <s v="No"/>
    <s v="Sun"/>
    <x v="0"/>
    <n v="2"/>
    <n v="14.78"/>
    <n v="3.23"/>
    <n v="1"/>
    <n v="2"/>
    <m/>
    <n v="1"/>
  </r>
  <r>
    <x v="1"/>
    <s v="No"/>
    <s v="Sun"/>
    <x v="0"/>
    <n v="2"/>
    <n v="10.27"/>
    <n v="1.71"/>
    <n v="1"/>
    <n v="2"/>
    <m/>
    <n v="1"/>
  </r>
  <r>
    <x v="0"/>
    <s v="No"/>
    <s v="Sun"/>
    <x v="0"/>
    <n v="4"/>
    <n v="35.26"/>
    <n v="5"/>
    <n v="2"/>
    <n v="2"/>
    <m/>
    <n v="1"/>
  </r>
  <r>
    <x v="1"/>
    <s v="No"/>
    <s v="Sun"/>
    <x v="0"/>
    <n v="2"/>
    <n v="15.42"/>
    <n v="1.57"/>
    <n v="1"/>
    <n v="2"/>
    <m/>
    <n v="1"/>
  </r>
  <r>
    <x v="1"/>
    <s v="No"/>
    <s v="Sun"/>
    <x v="0"/>
    <n v="4"/>
    <n v="18.43"/>
    <n v="3"/>
    <n v="1"/>
    <n v="2"/>
    <m/>
    <n v="1"/>
  </r>
  <r>
    <x v="0"/>
    <s v="No"/>
    <s v="Sun"/>
    <x v="0"/>
    <n v="2"/>
    <n v="14.83"/>
    <n v="3.02"/>
    <n v="2"/>
    <n v="2"/>
    <m/>
    <n v="1"/>
  </r>
  <r>
    <x v="1"/>
    <s v="No"/>
    <s v="Sun"/>
    <x v="0"/>
    <n v="2"/>
    <n v="21.58"/>
    <n v="3.92"/>
    <n v="1"/>
    <n v="2"/>
    <m/>
    <n v="1"/>
  </r>
  <r>
    <x v="0"/>
    <s v="No"/>
    <s v="Sun"/>
    <x v="0"/>
    <n v="3"/>
    <n v="10.33"/>
    <n v="1.67"/>
    <n v="2"/>
    <n v="2"/>
    <m/>
    <n v="1"/>
  </r>
  <r>
    <x v="1"/>
    <s v="No"/>
    <s v="Sun"/>
    <x v="0"/>
    <n v="3"/>
    <n v="16.29"/>
    <n v="3.71"/>
    <n v="1"/>
    <n v="2"/>
    <m/>
    <n v="1"/>
  </r>
  <r>
    <x v="0"/>
    <s v="No"/>
    <s v="Sun"/>
    <x v="0"/>
    <n v="3"/>
    <n v="16.97"/>
    <n v="3.5"/>
    <n v="2"/>
    <n v="2"/>
    <m/>
    <n v="1"/>
  </r>
  <r>
    <x v="1"/>
    <s v="No"/>
    <s v="Sat"/>
    <x v="0"/>
    <n v="3"/>
    <n v="20.65"/>
    <n v="3.35"/>
    <n v="1"/>
    <n v="2"/>
    <m/>
    <n v="1"/>
  </r>
  <r>
    <x v="1"/>
    <s v="No"/>
    <s v="Sat"/>
    <x v="0"/>
    <n v="2"/>
    <n v="17.920000000000002"/>
    <n v="4.08"/>
    <n v="1"/>
    <n v="2"/>
    <m/>
    <n v="1"/>
  </r>
  <r>
    <x v="0"/>
    <s v="No"/>
    <s v="Sat"/>
    <x v="0"/>
    <n v="2"/>
    <n v="20.29"/>
    <n v="2.75"/>
    <n v="2"/>
    <n v="2"/>
    <m/>
    <n v="1"/>
  </r>
  <r>
    <x v="0"/>
    <s v="No"/>
    <s v="Sat"/>
    <x v="0"/>
    <n v="2"/>
    <n v="15.77"/>
    <n v="2.23"/>
    <n v="2"/>
    <n v="2"/>
    <m/>
    <n v="1"/>
  </r>
  <r>
    <x v="1"/>
    <s v="No"/>
    <s v="Sat"/>
    <x v="0"/>
    <n v="4"/>
    <n v="39.42"/>
    <n v="7.58"/>
    <n v="1"/>
    <n v="2"/>
    <m/>
    <n v="1"/>
  </r>
  <r>
    <x v="1"/>
    <s v="No"/>
    <s v="Sat"/>
    <x v="0"/>
    <n v="2"/>
    <n v="19.82"/>
    <n v="3.18"/>
    <n v="1"/>
    <n v="2"/>
    <m/>
    <n v="1"/>
  </r>
  <r>
    <x v="1"/>
    <s v="No"/>
    <s v="Sat"/>
    <x v="0"/>
    <n v="4"/>
    <n v="17.809999999999999"/>
    <n v="2.34"/>
    <n v="1"/>
    <n v="2"/>
    <m/>
    <n v="1"/>
  </r>
  <r>
    <x v="1"/>
    <s v="No"/>
    <s v="Sat"/>
    <x v="0"/>
    <n v="2"/>
    <n v="13.37"/>
    <n v="2"/>
    <n v="1"/>
    <n v="2"/>
    <m/>
    <n v="1"/>
  </r>
  <r>
    <x v="1"/>
    <s v="No"/>
    <s v="Sat"/>
    <x v="0"/>
    <n v="2"/>
    <n v="12.69"/>
    <n v="2"/>
    <n v="1"/>
    <n v="2"/>
    <m/>
    <n v="1"/>
  </r>
  <r>
    <x v="1"/>
    <s v="No"/>
    <s v="Sat"/>
    <x v="0"/>
    <n v="2"/>
    <n v="21.7"/>
    <n v="4.3"/>
    <n v="1"/>
    <n v="2"/>
    <m/>
    <n v="1"/>
  </r>
  <r>
    <x v="0"/>
    <s v="No"/>
    <s v="Sat"/>
    <x v="0"/>
    <n v="2"/>
    <n v="19.649999999999999"/>
    <n v="3"/>
    <n v="2"/>
    <n v="2"/>
    <m/>
    <n v="1"/>
  </r>
  <r>
    <x v="1"/>
    <s v="No"/>
    <s v="Sat"/>
    <x v="0"/>
    <n v="2"/>
    <n v="9.5500000000000007"/>
    <n v="1.45"/>
    <n v="1"/>
    <n v="2"/>
    <m/>
    <n v="1"/>
  </r>
  <r>
    <x v="1"/>
    <s v="No"/>
    <s v="Sat"/>
    <x v="0"/>
    <n v="4"/>
    <n v="18.350000000000001"/>
    <n v="2.5"/>
    <n v="1"/>
    <n v="2"/>
    <m/>
    <n v="1"/>
  </r>
  <r>
    <x v="0"/>
    <s v="No"/>
    <s v="Sat"/>
    <x v="0"/>
    <n v="2"/>
    <n v="15.06"/>
    <n v="3"/>
    <n v="2"/>
    <n v="2"/>
    <m/>
    <n v="1"/>
  </r>
  <r>
    <x v="0"/>
    <s v="No"/>
    <s v="Sat"/>
    <x v="0"/>
    <n v="4"/>
    <n v="20.69"/>
    <n v="2.4500000000000002"/>
    <n v="2"/>
    <n v="2"/>
    <m/>
    <n v="1"/>
  </r>
  <r>
    <x v="1"/>
    <s v="No"/>
    <s v="Sat"/>
    <x v="0"/>
    <n v="2"/>
    <n v="17.78"/>
    <n v="3.27"/>
    <n v="1"/>
    <n v="2"/>
    <m/>
    <n v="1"/>
  </r>
  <r>
    <x v="1"/>
    <s v="No"/>
    <s v="Sat"/>
    <x v="0"/>
    <n v="3"/>
    <n v="24.06"/>
    <n v="3.6"/>
    <n v="1"/>
    <n v="2"/>
    <m/>
    <n v="1"/>
  </r>
  <r>
    <x v="1"/>
    <s v="No"/>
    <s v="Sat"/>
    <x v="0"/>
    <n v="3"/>
    <n v="16.309999999999999"/>
    <n v="2"/>
    <n v="1"/>
    <n v="2"/>
    <m/>
    <n v="1"/>
  </r>
  <r>
    <x v="0"/>
    <s v="No"/>
    <s v="Sat"/>
    <x v="0"/>
    <n v="3"/>
    <n v="16.93"/>
    <n v="3.07"/>
    <n v="2"/>
    <n v="2"/>
    <m/>
    <n v="1"/>
  </r>
  <r>
    <x v="1"/>
    <s v="No"/>
    <s v="Sat"/>
    <x v="0"/>
    <n v="3"/>
    <n v="18.690000000000001"/>
    <n v="2.31"/>
    <n v="1"/>
    <n v="2"/>
    <m/>
    <n v="1"/>
  </r>
  <r>
    <x v="1"/>
    <s v="No"/>
    <s v="Sat"/>
    <x v="0"/>
    <n v="3"/>
    <n v="31.27"/>
    <n v="5"/>
    <n v="1"/>
    <n v="2"/>
    <m/>
    <n v="1"/>
  </r>
  <r>
    <x v="1"/>
    <s v="No"/>
    <s v="Sat"/>
    <x v="0"/>
    <n v="3"/>
    <n v="16.04"/>
    <n v="2.2400000000000002"/>
    <n v="1"/>
    <n v="2"/>
    <m/>
    <n v="1"/>
  </r>
  <r>
    <x v="1"/>
    <s v="No"/>
    <s v="Sun"/>
    <x v="0"/>
    <n v="2"/>
    <n v="17.46"/>
    <n v="2.54"/>
    <n v="1"/>
    <n v="2"/>
    <m/>
    <n v="1"/>
  </r>
  <r>
    <x v="1"/>
    <s v="No"/>
    <s v="Sun"/>
    <x v="0"/>
    <n v="2"/>
    <n v="13.94"/>
    <n v="3.06"/>
    <n v="1"/>
    <n v="2"/>
    <m/>
    <n v="1"/>
  </r>
  <r>
    <x v="1"/>
    <s v="No"/>
    <s v="Sun"/>
    <x v="0"/>
    <n v="2"/>
    <n v="9.68"/>
    <n v="1.32"/>
    <n v="1"/>
    <n v="2"/>
    <m/>
    <n v="1"/>
  </r>
  <r>
    <x v="1"/>
    <s v="No"/>
    <s v="Sun"/>
    <x v="0"/>
    <n v="4"/>
    <n v="30.4"/>
    <n v="5.6"/>
    <n v="1"/>
    <n v="2"/>
    <m/>
    <n v="1"/>
  </r>
  <r>
    <x v="1"/>
    <s v="No"/>
    <s v="Sun"/>
    <x v="0"/>
    <n v="2"/>
    <n v="18.29"/>
    <n v="3"/>
    <n v="1"/>
    <n v="2"/>
    <m/>
    <n v="1"/>
  </r>
  <r>
    <x v="1"/>
    <s v="No"/>
    <s v="Sun"/>
    <x v="0"/>
    <n v="2"/>
    <n v="22.23"/>
    <n v="5"/>
    <n v="1"/>
    <n v="2"/>
    <m/>
    <n v="1"/>
  </r>
  <r>
    <x v="1"/>
    <s v="No"/>
    <s v="Sun"/>
    <x v="0"/>
    <n v="4"/>
    <n v="32.4"/>
    <n v="6"/>
    <n v="1"/>
    <n v="2"/>
    <m/>
    <n v="1"/>
  </r>
  <r>
    <x v="1"/>
    <s v="No"/>
    <s v="Sun"/>
    <x v="0"/>
    <n v="3"/>
    <n v="28.55"/>
    <n v="2.0499999999999998"/>
    <n v="1"/>
    <n v="2"/>
    <m/>
    <n v="1"/>
  </r>
  <r>
    <x v="1"/>
    <s v="No"/>
    <s v="Sun"/>
    <x v="0"/>
    <n v="2"/>
    <n v="18.04"/>
    <n v="3"/>
    <n v="1"/>
    <n v="2"/>
    <m/>
    <n v="1"/>
  </r>
  <r>
    <x v="1"/>
    <s v="No"/>
    <s v="Sun"/>
    <x v="0"/>
    <n v="2"/>
    <n v="12.54"/>
    <n v="2.5"/>
    <n v="1"/>
    <n v="2"/>
    <m/>
    <n v="1"/>
  </r>
  <r>
    <x v="0"/>
    <s v="No"/>
    <s v="Sun"/>
    <x v="0"/>
    <n v="2"/>
    <n v="10.29"/>
    <n v="2.6"/>
    <n v="2"/>
    <n v="2"/>
    <m/>
    <n v="1"/>
  </r>
  <r>
    <x v="0"/>
    <s v="No"/>
    <s v="Sun"/>
    <x v="0"/>
    <n v="4"/>
    <n v="34.81"/>
    <n v="5.2"/>
    <n v="2"/>
    <n v="2"/>
    <m/>
    <n v="1"/>
  </r>
  <r>
    <x v="1"/>
    <s v="No"/>
    <s v="Sun"/>
    <x v="0"/>
    <n v="2"/>
    <n v="9.94"/>
    <n v="1.56"/>
    <n v="1"/>
    <n v="2"/>
    <m/>
    <n v="1"/>
  </r>
  <r>
    <x v="1"/>
    <s v="No"/>
    <s v="Sun"/>
    <x v="0"/>
    <n v="4"/>
    <n v="25.56"/>
    <n v="4.34"/>
    <n v="1"/>
    <n v="2"/>
    <m/>
    <n v="1"/>
  </r>
  <r>
    <x v="1"/>
    <s v="No"/>
    <s v="Sun"/>
    <x v="0"/>
    <n v="2"/>
    <n v="19.489999999999998"/>
    <n v="3.51"/>
    <n v="1"/>
    <n v="2"/>
    <m/>
    <n v="1"/>
  </r>
  <r>
    <x v="1"/>
    <s v="Yes"/>
    <s v="Sat"/>
    <x v="0"/>
    <n v="4"/>
    <n v="38.01"/>
    <n v="3"/>
    <n v="1"/>
    <n v="1"/>
    <m/>
    <n v="1"/>
  </r>
  <r>
    <x v="0"/>
    <s v="No"/>
    <s v="Sat"/>
    <x v="0"/>
    <n v="2"/>
    <n v="26.41"/>
    <n v="1.5"/>
    <n v="2"/>
    <n v="2"/>
    <m/>
    <n v="1"/>
  </r>
  <r>
    <x v="1"/>
    <s v="Yes"/>
    <s v="Sat"/>
    <x v="0"/>
    <n v="2"/>
    <n v="11.24"/>
    <n v="1.76"/>
    <n v="1"/>
    <n v="1"/>
    <m/>
    <n v="1"/>
  </r>
  <r>
    <x v="1"/>
    <s v="No"/>
    <s v="Sat"/>
    <x v="0"/>
    <n v="4"/>
    <n v="48.27"/>
    <n v="6.73"/>
    <n v="1"/>
    <n v="2"/>
    <m/>
    <n v="1"/>
  </r>
  <r>
    <x v="1"/>
    <s v="Yes"/>
    <s v="Sat"/>
    <x v="0"/>
    <n v="2"/>
    <n v="20.29"/>
    <n v="3.21"/>
    <n v="1"/>
    <n v="1"/>
    <m/>
    <n v="1"/>
  </r>
  <r>
    <x v="1"/>
    <s v="Yes"/>
    <s v="Sat"/>
    <x v="0"/>
    <n v="2"/>
    <n v="13.81"/>
    <n v="2"/>
    <n v="1"/>
    <n v="1"/>
    <m/>
    <n v="1"/>
  </r>
  <r>
    <x v="1"/>
    <s v="Yes"/>
    <s v="Sat"/>
    <x v="0"/>
    <n v="2"/>
    <n v="11.02"/>
    <n v="1.98"/>
    <n v="1"/>
    <n v="1"/>
    <m/>
    <n v="1"/>
  </r>
  <r>
    <x v="1"/>
    <s v="Yes"/>
    <s v="Sat"/>
    <x v="0"/>
    <n v="4"/>
    <n v="18.29"/>
    <n v="3.76"/>
    <n v="1"/>
    <n v="1"/>
    <m/>
    <n v="1"/>
  </r>
  <r>
    <x v="1"/>
    <s v="No"/>
    <s v="Sat"/>
    <x v="0"/>
    <n v="3"/>
    <n v="17.59"/>
    <n v="2.64"/>
    <n v="1"/>
    <n v="2"/>
    <m/>
    <n v="1"/>
  </r>
  <r>
    <x v="1"/>
    <s v="No"/>
    <s v="Sat"/>
    <x v="0"/>
    <n v="3"/>
    <n v="20.079999999999998"/>
    <n v="3.15"/>
    <n v="1"/>
    <n v="2"/>
    <m/>
    <n v="1"/>
  </r>
  <r>
    <x v="0"/>
    <s v="No"/>
    <s v="Sat"/>
    <x v="0"/>
    <n v="2"/>
    <n v="16.45"/>
    <n v="2.4700000000000002"/>
    <n v="2"/>
    <n v="2"/>
    <m/>
    <n v="1"/>
  </r>
  <r>
    <x v="0"/>
    <s v="Yes"/>
    <s v="Sat"/>
    <x v="0"/>
    <n v="1"/>
    <n v="3.07"/>
    <n v="1"/>
    <n v="2"/>
    <n v="1"/>
    <m/>
    <n v="1"/>
  </r>
  <r>
    <x v="1"/>
    <s v="No"/>
    <s v="Sat"/>
    <x v="0"/>
    <n v="2"/>
    <n v="20.23"/>
    <n v="2.0099999999999998"/>
    <n v="1"/>
    <n v="2"/>
    <m/>
    <n v="1"/>
  </r>
  <r>
    <x v="1"/>
    <s v="Yes"/>
    <s v="Sat"/>
    <x v="0"/>
    <n v="2"/>
    <n v="15.01"/>
    <n v="2.09"/>
    <n v="1"/>
    <n v="1"/>
    <m/>
    <n v="1"/>
  </r>
  <r>
    <x v="1"/>
    <s v="No"/>
    <s v="Sat"/>
    <x v="0"/>
    <n v="2"/>
    <n v="12.02"/>
    <n v="1.97"/>
    <n v="1"/>
    <n v="2"/>
    <m/>
    <n v="1"/>
  </r>
  <r>
    <x v="0"/>
    <s v="No"/>
    <s v="Sat"/>
    <x v="0"/>
    <n v="3"/>
    <n v="17.07"/>
    <n v="3"/>
    <n v="2"/>
    <n v="2"/>
    <m/>
    <n v="1"/>
  </r>
  <r>
    <x v="0"/>
    <s v="Yes"/>
    <s v="Sat"/>
    <x v="0"/>
    <n v="2"/>
    <n v="26.86"/>
    <n v="3.14"/>
    <n v="2"/>
    <n v="1"/>
    <m/>
    <n v="1"/>
  </r>
  <r>
    <x v="0"/>
    <s v="Yes"/>
    <s v="Sat"/>
    <x v="0"/>
    <n v="2"/>
    <n v="25.28"/>
    <n v="5"/>
    <n v="2"/>
    <n v="1"/>
    <m/>
    <n v="1"/>
  </r>
  <r>
    <x v="0"/>
    <s v="No"/>
    <s v="Sat"/>
    <x v="0"/>
    <n v="2"/>
    <n v="14.73"/>
    <n v="2.2000000000000002"/>
    <n v="2"/>
    <n v="2"/>
    <m/>
    <n v="1"/>
  </r>
  <r>
    <x v="1"/>
    <s v="No"/>
    <s v="Sat"/>
    <x v="0"/>
    <n v="2"/>
    <n v="10.51"/>
    <n v="1.25"/>
    <n v="1"/>
    <n v="2"/>
    <m/>
    <n v="1"/>
  </r>
  <r>
    <x v="1"/>
    <s v="Yes"/>
    <s v="Sat"/>
    <x v="0"/>
    <n v="2"/>
    <n v="17.920000000000002"/>
    <n v="3.08"/>
    <n v="1"/>
    <n v="1"/>
    <m/>
    <n v="1"/>
  </r>
  <r>
    <x v="1"/>
    <s v="No"/>
    <s v="Thur"/>
    <x v="1"/>
    <n v="4"/>
    <n v="27.2"/>
    <n v="4"/>
    <n v="1"/>
    <n v="2"/>
    <m/>
    <n v="2"/>
  </r>
  <r>
    <x v="1"/>
    <s v="No"/>
    <s v="Thur"/>
    <x v="1"/>
    <n v="2"/>
    <n v="22.76"/>
    <n v="3"/>
    <n v="1"/>
    <n v="2"/>
    <m/>
    <n v="2"/>
  </r>
  <r>
    <x v="1"/>
    <s v="No"/>
    <s v="Thur"/>
    <x v="1"/>
    <n v="2"/>
    <n v="17.29"/>
    <n v="2.71"/>
    <n v="1"/>
    <n v="2"/>
    <m/>
    <n v="2"/>
  </r>
  <r>
    <x v="1"/>
    <s v="Yes"/>
    <s v="Thur"/>
    <x v="1"/>
    <n v="2"/>
    <n v="19.440000000000001"/>
    <n v="3"/>
    <n v="1"/>
    <n v="1"/>
    <m/>
    <n v="2"/>
  </r>
  <r>
    <x v="1"/>
    <s v="No"/>
    <s v="Thur"/>
    <x v="1"/>
    <n v="2"/>
    <n v="16.66"/>
    <n v="3.4"/>
    <n v="1"/>
    <n v="2"/>
    <m/>
    <n v="2"/>
  </r>
  <r>
    <x v="0"/>
    <s v="No"/>
    <s v="Thur"/>
    <x v="1"/>
    <n v="1"/>
    <n v="10.07"/>
    <n v="1.83"/>
    <n v="2"/>
    <n v="2"/>
    <m/>
    <n v="2"/>
  </r>
  <r>
    <x v="1"/>
    <s v="Yes"/>
    <s v="Thur"/>
    <x v="1"/>
    <n v="2"/>
    <n v="32.68"/>
    <n v="5"/>
    <n v="1"/>
    <n v="1"/>
    <m/>
    <n v="2"/>
  </r>
  <r>
    <x v="1"/>
    <s v="No"/>
    <s v="Thur"/>
    <x v="1"/>
    <n v="2"/>
    <n v="15.98"/>
    <n v="2.0299999999999998"/>
    <n v="1"/>
    <n v="2"/>
    <m/>
    <n v="2"/>
  </r>
  <r>
    <x v="0"/>
    <s v="No"/>
    <s v="Thur"/>
    <x v="1"/>
    <n v="4"/>
    <n v="34.83"/>
    <n v="5.17"/>
    <n v="2"/>
    <n v="2"/>
    <m/>
    <n v="2"/>
  </r>
  <r>
    <x v="1"/>
    <s v="No"/>
    <s v="Thur"/>
    <x v="1"/>
    <n v="2"/>
    <n v="13.03"/>
    <n v="2"/>
    <n v="1"/>
    <n v="2"/>
    <m/>
    <n v="2"/>
  </r>
  <r>
    <x v="1"/>
    <s v="No"/>
    <s v="Thur"/>
    <x v="1"/>
    <n v="2"/>
    <n v="18.28"/>
    <n v="4"/>
    <n v="1"/>
    <n v="2"/>
    <m/>
    <n v="2"/>
  </r>
  <r>
    <x v="1"/>
    <s v="No"/>
    <s v="Thur"/>
    <x v="1"/>
    <n v="2"/>
    <n v="24.71"/>
    <n v="5.85"/>
    <n v="1"/>
    <n v="2"/>
    <m/>
    <n v="2"/>
  </r>
  <r>
    <x v="1"/>
    <s v="No"/>
    <s v="Thur"/>
    <x v="1"/>
    <n v="2"/>
    <n v="21.16"/>
    <n v="3"/>
    <n v="1"/>
    <n v="2"/>
    <m/>
    <n v="2"/>
  </r>
  <r>
    <x v="1"/>
    <s v="Yes"/>
    <s v="Fri"/>
    <x v="0"/>
    <n v="2"/>
    <n v="28.97"/>
    <n v="3"/>
    <n v="1"/>
    <n v="1"/>
    <m/>
    <n v="1"/>
  </r>
  <r>
    <x v="1"/>
    <s v="No"/>
    <s v="Fri"/>
    <x v="0"/>
    <n v="2"/>
    <n v="22.49"/>
    <n v="3.5"/>
    <n v="1"/>
    <n v="2"/>
    <m/>
    <n v="1"/>
  </r>
  <r>
    <x v="0"/>
    <s v="Yes"/>
    <s v="Fri"/>
    <x v="0"/>
    <n v="2"/>
    <n v="5.75"/>
    <n v="1"/>
    <n v="2"/>
    <n v="1"/>
    <m/>
    <n v="1"/>
  </r>
  <r>
    <x v="0"/>
    <s v="Yes"/>
    <s v="Fri"/>
    <x v="0"/>
    <n v="2"/>
    <n v="16.32"/>
    <n v="4.3"/>
    <n v="2"/>
    <n v="1"/>
    <m/>
    <n v="1"/>
  </r>
  <r>
    <x v="0"/>
    <s v="No"/>
    <s v="Fri"/>
    <x v="0"/>
    <n v="2"/>
    <n v="22.75"/>
    <n v="3.25"/>
    <n v="2"/>
    <n v="2"/>
    <m/>
    <n v="1"/>
  </r>
  <r>
    <x v="1"/>
    <s v="Yes"/>
    <s v="Fri"/>
    <x v="0"/>
    <n v="4"/>
    <n v="40.17"/>
    <n v="4.7300000000000004"/>
    <n v="1"/>
    <n v="1"/>
    <m/>
    <n v="1"/>
  </r>
  <r>
    <x v="1"/>
    <s v="Yes"/>
    <s v="Fri"/>
    <x v="0"/>
    <n v="2"/>
    <n v="27.28"/>
    <n v="4"/>
    <n v="1"/>
    <n v="1"/>
    <m/>
    <n v="1"/>
  </r>
  <r>
    <x v="1"/>
    <s v="Yes"/>
    <s v="Fri"/>
    <x v="0"/>
    <n v="2"/>
    <n v="12.03"/>
    <n v="1.5"/>
    <n v="1"/>
    <n v="1"/>
    <m/>
    <n v="1"/>
  </r>
  <r>
    <x v="1"/>
    <s v="Yes"/>
    <s v="Fri"/>
    <x v="0"/>
    <n v="2"/>
    <n v="21.01"/>
    <n v="3"/>
    <n v="1"/>
    <n v="1"/>
    <m/>
    <n v="1"/>
  </r>
  <r>
    <x v="1"/>
    <s v="No"/>
    <s v="Fri"/>
    <x v="0"/>
    <n v="2"/>
    <n v="12.46"/>
    <n v="1.5"/>
    <n v="1"/>
    <n v="2"/>
    <m/>
    <n v="1"/>
  </r>
  <r>
    <x v="0"/>
    <s v="Yes"/>
    <s v="Fri"/>
    <x v="0"/>
    <n v="2"/>
    <n v="11.35"/>
    <n v="2.5"/>
    <n v="2"/>
    <n v="1"/>
    <m/>
    <n v="1"/>
  </r>
  <r>
    <x v="0"/>
    <s v="Yes"/>
    <s v="Fri"/>
    <x v="0"/>
    <n v="2"/>
    <n v="15.38"/>
    <n v="3"/>
    <n v="2"/>
    <n v="1"/>
    <m/>
    <n v="1"/>
  </r>
  <r>
    <x v="0"/>
    <s v="Yes"/>
    <s v="Sat"/>
    <x v="0"/>
    <n v="3"/>
    <n v="44.3"/>
    <n v="2.5"/>
    <n v="2"/>
    <n v="1"/>
    <m/>
    <n v="1"/>
  </r>
  <r>
    <x v="0"/>
    <s v="Yes"/>
    <s v="Sat"/>
    <x v="0"/>
    <n v="2"/>
    <n v="22.42"/>
    <n v="3.48"/>
    <n v="2"/>
    <n v="1"/>
    <m/>
    <n v="1"/>
  </r>
  <r>
    <x v="0"/>
    <s v="No"/>
    <s v="Sat"/>
    <x v="0"/>
    <n v="2"/>
    <n v="20.92"/>
    <n v="4.08"/>
    <n v="2"/>
    <n v="2"/>
    <m/>
    <n v="1"/>
  </r>
  <r>
    <x v="1"/>
    <s v="Yes"/>
    <s v="Sat"/>
    <x v="0"/>
    <n v="2"/>
    <n v="15.36"/>
    <n v="1.64"/>
    <n v="1"/>
    <n v="1"/>
    <m/>
    <n v="1"/>
  </r>
  <r>
    <x v="1"/>
    <s v="Yes"/>
    <s v="Sat"/>
    <x v="0"/>
    <n v="2"/>
    <n v="20.49"/>
    <n v="4.0599999999999996"/>
    <n v="1"/>
    <n v="1"/>
    <m/>
    <n v="1"/>
  </r>
  <r>
    <x v="1"/>
    <s v="Yes"/>
    <s v="Sat"/>
    <x v="0"/>
    <n v="2"/>
    <n v="25.21"/>
    <n v="4.29"/>
    <n v="1"/>
    <n v="1"/>
    <m/>
    <n v="1"/>
  </r>
  <r>
    <x v="1"/>
    <s v="No"/>
    <s v="Sat"/>
    <x v="0"/>
    <n v="2"/>
    <n v="18.239999999999998"/>
    <n v="3.76"/>
    <n v="1"/>
    <n v="2"/>
    <m/>
    <n v="1"/>
  </r>
  <r>
    <x v="0"/>
    <s v="Yes"/>
    <s v="Sat"/>
    <x v="0"/>
    <n v="2"/>
    <n v="14.31"/>
    <n v="4"/>
    <n v="2"/>
    <n v="1"/>
    <m/>
    <n v="1"/>
  </r>
  <r>
    <x v="1"/>
    <s v="No"/>
    <s v="Sat"/>
    <x v="0"/>
    <n v="2"/>
    <n v="14"/>
    <n v="3"/>
    <n v="1"/>
    <n v="2"/>
    <m/>
    <n v="1"/>
  </r>
  <r>
    <x v="0"/>
    <s v="No"/>
    <s v="Sat"/>
    <x v="0"/>
    <n v="1"/>
    <n v="7.25"/>
    <n v="1"/>
    <n v="2"/>
    <n v="2"/>
    <m/>
    <n v="1"/>
  </r>
  <r>
    <x v="1"/>
    <s v="No"/>
    <s v="Sun"/>
    <x v="0"/>
    <n v="3"/>
    <n v="38.07"/>
    <n v="4"/>
    <n v="1"/>
    <n v="2"/>
    <m/>
    <n v="1"/>
  </r>
  <r>
    <x v="1"/>
    <s v="No"/>
    <s v="Sun"/>
    <x v="0"/>
    <n v="2"/>
    <n v="23.95"/>
    <n v="2.5499999999999998"/>
    <n v="1"/>
    <n v="2"/>
    <m/>
    <n v="1"/>
  </r>
  <r>
    <x v="0"/>
    <s v="No"/>
    <s v="Sun"/>
    <x v="0"/>
    <n v="3"/>
    <n v="25.71"/>
    <n v="4"/>
    <n v="2"/>
    <n v="2"/>
    <m/>
    <n v="1"/>
  </r>
  <r>
    <x v="0"/>
    <s v="No"/>
    <s v="Sun"/>
    <x v="0"/>
    <n v="2"/>
    <n v="17.309999999999999"/>
    <n v="3.5"/>
    <n v="2"/>
    <n v="2"/>
    <m/>
    <n v="1"/>
  </r>
  <r>
    <x v="1"/>
    <s v="No"/>
    <s v="Sun"/>
    <x v="0"/>
    <n v="4"/>
    <n v="29.93"/>
    <n v="5.07"/>
    <n v="1"/>
    <n v="2"/>
    <m/>
    <n v="1"/>
  </r>
  <r>
    <x v="0"/>
    <s v="No"/>
    <s v="Thur"/>
    <x v="1"/>
    <n v="2"/>
    <n v="10.65"/>
    <n v="1.5"/>
    <n v="2"/>
    <n v="2"/>
    <m/>
    <n v="2"/>
  </r>
  <r>
    <x v="0"/>
    <s v="No"/>
    <s v="Thur"/>
    <x v="1"/>
    <n v="2"/>
    <n v="12.43"/>
    <n v="1.8"/>
    <n v="2"/>
    <n v="2"/>
    <m/>
    <n v="2"/>
  </r>
  <r>
    <x v="0"/>
    <s v="No"/>
    <s v="Thur"/>
    <x v="1"/>
    <n v="4"/>
    <n v="24.08"/>
    <n v="2.92"/>
    <n v="2"/>
    <n v="2"/>
    <m/>
    <n v="2"/>
  </r>
  <r>
    <x v="1"/>
    <s v="No"/>
    <s v="Thur"/>
    <x v="1"/>
    <n v="2"/>
    <n v="11.69"/>
    <n v="2.31"/>
    <n v="1"/>
    <n v="2"/>
    <m/>
    <n v="2"/>
  </r>
  <r>
    <x v="0"/>
    <s v="No"/>
    <s v="Thur"/>
    <x v="1"/>
    <n v="2"/>
    <n v="13.42"/>
    <n v="1.68"/>
    <n v="2"/>
    <n v="2"/>
    <m/>
    <n v="2"/>
  </r>
  <r>
    <x v="1"/>
    <s v="No"/>
    <s v="Thur"/>
    <x v="1"/>
    <n v="2"/>
    <n v="14.26"/>
    <n v="2.5"/>
    <n v="1"/>
    <n v="2"/>
    <m/>
    <n v="2"/>
  </r>
  <r>
    <x v="1"/>
    <s v="No"/>
    <s v="Thur"/>
    <x v="1"/>
    <n v="2"/>
    <n v="15.95"/>
    <n v="2"/>
    <n v="1"/>
    <n v="2"/>
    <m/>
    <n v="2"/>
  </r>
  <r>
    <x v="0"/>
    <s v="No"/>
    <s v="Thur"/>
    <x v="1"/>
    <n v="2"/>
    <n v="12.48"/>
    <n v="2.52"/>
    <n v="2"/>
    <n v="2"/>
    <m/>
    <n v="2"/>
  </r>
  <r>
    <x v="0"/>
    <s v="No"/>
    <s v="Thur"/>
    <x v="1"/>
    <n v="6"/>
    <n v="29.8"/>
    <n v="4.2"/>
    <n v="2"/>
    <n v="2"/>
    <m/>
    <n v="2"/>
  </r>
  <r>
    <x v="1"/>
    <s v="No"/>
    <s v="Thur"/>
    <x v="1"/>
    <n v="2"/>
    <n v="8.52"/>
    <n v="1.48"/>
    <n v="1"/>
    <n v="2"/>
    <m/>
    <n v="2"/>
  </r>
  <r>
    <x v="0"/>
    <s v="No"/>
    <s v="Thur"/>
    <x v="1"/>
    <n v="2"/>
    <n v="14.52"/>
    <n v="2"/>
    <n v="2"/>
    <n v="2"/>
    <m/>
    <n v="2"/>
  </r>
  <r>
    <x v="0"/>
    <s v="No"/>
    <s v="Thur"/>
    <x v="1"/>
    <n v="2"/>
    <n v="11.38"/>
    <n v="2"/>
    <n v="2"/>
    <n v="2"/>
    <m/>
    <n v="2"/>
  </r>
  <r>
    <x v="1"/>
    <s v="No"/>
    <s v="Thur"/>
    <x v="1"/>
    <n v="3"/>
    <n v="22.82"/>
    <n v="2.1800000000000002"/>
    <n v="1"/>
    <n v="2"/>
    <m/>
    <n v="2"/>
  </r>
  <r>
    <x v="1"/>
    <s v="No"/>
    <s v="Thur"/>
    <x v="1"/>
    <n v="2"/>
    <n v="19.079999999999998"/>
    <n v="1.5"/>
    <n v="1"/>
    <n v="2"/>
    <m/>
    <n v="2"/>
  </r>
  <r>
    <x v="0"/>
    <s v="No"/>
    <s v="Thur"/>
    <x v="1"/>
    <n v="2"/>
    <n v="20.27"/>
    <n v="2.83"/>
    <n v="2"/>
    <n v="2"/>
    <m/>
    <n v="2"/>
  </r>
  <r>
    <x v="0"/>
    <s v="No"/>
    <s v="Thur"/>
    <x v="1"/>
    <n v="2"/>
    <n v="11.17"/>
    <n v="1.5"/>
    <n v="2"/>
    <n v="2"/>
    <m/>
    <n v="2"/>
  </r>
  <r>
    <x v="0"/>
    <s v="No"/>
    <s v="Thur"/>
    <x v="1"/>
    <n v="2"/>
    <n v="12.26"/>
    <n v="2"/>
    <n v="2"/>
    <n v="2"/>
    <m/>
    <n v="2"/>
  </r>
  <r>
    <x v="0"/>
    <s v="No"/>
    <s v="Thur"/>
    <x v="1"/>
    <n v="2"/>
    <n v="18.260000000000002"/>
    <n v="3.25"/>
    <n v="2"/>
    <n v="2"/>
    <m/>
    <n v="2"/>
  </r>
  <r>
    <x v="0"/>
    <s v="No"/>
    <s v="Thur"/>
    <x v="1"/>
    <n v="2"/>
    <n v="8.51"/>
    <n v="1.25"/>
    <n v="2"/>
    <n v="2"/>
    <m/>
    <n v="2"/>
  </r>
  <r>
    <x v="0"/>
    <s v="No"/>
    <s v="Thur"/>
    <x v="1"/>
    <n v="2"/>
    <n v="10.33"/>
    <n v="2"/>
    <n v="2"/>
    <n v="2"/>
    <m/>
    <n v="2"/>
  </r>
  <r>
    <x v="0"/>
    <s v="No"/>
    <s v="Thur"/>
    <x v="1"/>
    <n v="2"/>
    <n v="14.15"/>
    <n v="2"/>
    <n v="2"/>
    <n v="2"/>
    <m/>
    <n v="2"/>
  </r>
  <r>
    <x v="1"/>
    <s v="Yes"/>
    <s v="Thur"/>
    <x v="1"/>
    <n v="2"/>
    <n v="16"/>
    <n v="2"/>
    <n v="1"/>
    <n v="1"/>
    <m/>
    <n v="2"/>
  </r>
  <r>
    <x v="0"/>
    <s v="No"/>
    <s v="Thur"/>
    <x v="1"/>
    <n v="2"/>
    <n v="13.16"/>
    <n v="2.75"/>
    <n v="2"/>
    <n v="2"/>
    <m/>
    <n v="2"/>
  </r>
  <r>
    <x v="0"/>
    <s v="No"/>
    <s v="Thur"/>
    <x v="1"/>
    <n v="2"/>
    <n v="17.47"/>
    <n v="3.5"/>
    <n v="2"/>
    <n v="2"/>
    <m/>
    <n v="2"/>
  </r>
  <r>
    <x v="1"/>
    <s v="No"/>
    <s v="Thur"/>
    <x v="1"/>
    <n v="6"/>
    <n v="34.299999999999997"/>
    <n v="6.7"/>
    <n v="1"/>
    <n v="2"/>
    <m/>
    <n v="2"/>
  </r>
  <r>
    <x v="1"/>
    <s v="No"/>
    <s v="Thur"/>
    <x v="1"/>
    <n v="5"/>
    <n v="41.19"/>
    <n v="5"/>
    <n v="1"/>
    <n v="2"/>
    <m/>
    <n v="2"/>
  </r>
  <r>
    <x v="0"/>
    <s v="No"/>
    <s v="Thur"/>
    <x v="1"/>
    <n v="6"/>
    <n v="27.05"/>
    <n v="5"/>
    <n v="2"/>
    <n v="2"/>
    <m/>
    <n v="2"/>
  </r>
  <r>
    <x v="0"/>
    <s v="No"/>
    <s v="Thur"/>
    <x v="1"/>
    <n v="2"/>
    <n v="16.43"/>
    <n v="2.2999999999999998"/>
    <n v="2"/>
    <n v="2"/>
    <m/>
    <n v="2"/>
  </r>
  <r>
    <x v="0"/>
    <s v="No"/>
    <s v="Thur"/>
    <x v="1"/>
    <n v="2"/>
    <n v="8.35"/>
    <n v="1.5"/>
    <n v="2"/>
    <n v="2"/>
    <m/>
    <n v="2"/>
  </r>
  <r>
    <x v="0"/>
    <s v="No"/>
    <s v="Thur"/>
    <x v="1"/>
    <n v="3"/>
    <n v="18.64"/>
    <n v="1.36"/>
    <n v="2"/>
    <n v="2"/>
    <m/>
    <n v="2"/>
  </r>
  <r>
    <x v="0"/>
    <s v="No"/>
    <s v="Thur"/>
    <x v="1"/>
    <n v="2"/>
    <n v="11.87"/>
    <n v="1.63"/>
    <n v="2"/>
    <n v="2"/>
    <m/>
    <n v="2"/>
  </r>
  <r>
    <x v="1"/>
    <s v="No"/>
    <s v="Thur"/>
    <x v="1"/>
    <n v="2"/>
    <n v="9.7799999999999994"/>
    <n v="1.73"/>
    <n v="1"/>
    <n v="2"/>
    <m/>
    <n v="2"/>
  </r>
  <r>
    <x v="1"/>
    <s v="No"/>
    <s v="Thur"/>
    <x v="1"/>
    <n v="2"/>
    <n v="7.51"/>
    <n v="2"/>
    <n v="1"/>
    <n v="2"/>
    <m/>
    <n v="2"/>
  </r>
  <r>
    <x v="1"/>
    <s v="No"/>
    <s v="Sun"/>
    <x v="0"/>
    <n v="2"/>
    <n v="14.07"/>
    <n v="2.5"/>
    <n v="1"/>
    <n v="2"/>
    <m/>
    <n v="1"/>
  </r>
  <r>
    <x v="1"/>
    <s v="No"/>
    <s v="Sun"/>
    <x v="0"/>
    <n v="2"/>
    <n v="13.13"/>
    <n v="2"/>
    <n v="1"/>
    <n v="2"/>
    <m/>
    <n v="1"/>
  </r>
  <r>
    <x v="1"/>
    <s v="No"/>
    <s v="Sun"/>
    <x v="0"/>
    <n v="3"/>
    <n v="17.260000000000002"/>
    <n v="2.74"/>
    <n v="1"/>
    <n v="2"/>
    <m/>
    <n v="1"/>
  </r>
  <r>
    <x v="1"/>
    <s v="No"/>
    <s v="Sun"/>
    <x v="0"/>
    <n v="4"/>
    <n v="24.55"/>
    <n v="2"/>
    <n v="1"/>
    <n v="2"/>
    <m/>
    <n v="1"/>
  </r>
  <r>
    <x v="1"/>
    <s v="No"/>
    <s v="Sun"/>
    <x v="0"/>
    <n v="4"/>
    <n v="19.77"/>
    <n v="2"/>
    <n v="1"/>
    <n v="2"/>
    <m/>
    <n v="1"/>
  </r>
  <r>
    <x v="0"/>
    <s v="No"/>
    <s v="Sun"/>
    <x v="0"/>
    <n v="5"/>
    <n v="29.85"/>
    <n v="5.14"/>
    <n v="2"/>
    <n v="2"/>
    <m/>
    <n v="1"/>
  </r>
  <r>
    <x v="1"/>
    <s v="No"/>
    <s v="Sun"/>
    <x v="0"/>
    <n v="6"/>
    <n v="48.17"/>
    <n v="5"/>
    <n v="1"/>
    <n v="2"/>
    <m/>
    <n v="1"/>
  </r>
  <r>
    <x v="0"/>
    <s v="No"/>
    <s v="Sun"/>
    <x v="0"/>
    <n v="4"/>
    <n v="25"/>
    <n v="3.75"/>
    <n v="2"/>
    <n v="2"/>
    <m/>
    <n v="1"/>
  </r>
  <r>
    <x v="0"/>
    <s v="No"/>
    <s v="Sun"/>
    <x v="0"/>
    <n v="2"/>
    <n v="13.39"/>
    <n v="2.61"/>
    <n v="2"/>
    <n v="2"/>
    <m/>
    <n v="1"/>
  </r>
  <r>
    <x v="1"/>
    <s v="No"/>
    <s v="Sun"/>
    <x v="0"/>
    <n v="4"/>
    <n v="16.489999999999998"/>
    <n v="2"/>
    <n v="1"/>
    <n v="2"/>
    <m/>
    <n v="1"/>
  </r>
  <r>
    <x v="1"/>
    <s v="No"/>
    <s v="Sun"/>
    <x v="0"/>
    <n v="4"/>
    <n v="21.5"/>
    <n v="3.5"/>
    <n v="1"/>
    <n v="2"/>
    <m/>
    <n v="1"/>
  </r>
  <r>
    <x v="1"/>
    <s v="No"/>
    <s v="Sun"/>
    <x v="0"/>
    <n v="2"/>
    <n v="12.66"/>
    <n v="2.5"/>
    <n v="1"/>
    <n v="2"/>
    <m/>
    <n v="1"/>
  </r>
  <r>
    <x v="0"/>
    <s v="No"/>
    <s v="Sun"/>
    <x v="0"/>
    <n v="3"/>
    <n v="16.21"/>
    <n v="2"/>
    <n v="2"/>
    <n v="2"/>
    <m/>
    <n v="1"/>
  </r>
  <r>
    <x v="1"/>
    <s v="No"/>
    <s v="Sun"/>
    <x v="0"/>
    <n v="2"/>
    <n v="13.81"/>
    <n v="2"/>
    <n v="1"/>
    <n v="2"/>
    <m/>
    <n v="1"/>
  </r>
  <r>
    <x v="0"/>
    <s v="Yes"/>
    <s v="Sun"/>
    <x v="0"/>
    <n v="2"/>
    <n v="17.510000000000002"/>
    <n v="3"/>
    <n v="2"/>
    <n v="1"/>
    <m/>
    <n v="1"/>
  </r>
  <r>
    <x v="1"/>
    <s v="No"/>
    <s v="Sun"/>
    <x v="0"/>
    <n v="3"/>
    <n v="24.52"/>
    <n v="3.48"/>
    <n v="1"/>
    <n v="2"/>
    <m/>
    <n v="1"/>
  </r>
  <r>
    <x v="1"/>
    <s v="No"/>
    <s v="Sun"/>
    <x v="0"/>
    <n v="2"/>
    <n v="20.76"/>
    <n v="2.2400000000000002"/>
    <n v="1"/>
    <n v="2"/>
    <m/>
    <n v="1"/>
  </r>
  <r>
    <x v="1"/>
    <s v="No"/>
    <s v="Sun"/>
    <x v="0"/>
    <n v="4"/>
    <n v="31.71"/>
    <n v="4.5"/>
    <n v="1"/>
    <n v="2"/>
    <m/>
    <n v="1"/>
  </r>
  <r>
    <x v="0"/>
    <s v="Yes"/>
    <s v="Sat"/>
    <x v="0"/>
    <n v="2"/>
    <n v="10.59"/>
    <n v="1.61"/>
    <n v="2"/>
    <n v="1"/>
    <m/>
    <n v="1"/>
  </r>
  <r>
    <x v="0"/>
    <s v="Yes"/>
    <s v="Sat"/>
    <x v="0"/>
    <n v="2"/>
    <n v="10.63"/>
    <n v="2"/>
    <n v="2"/>
    <n v="1"/>
    <m/>
    <n v="1"/>
  </r>
  <r>
    <x v="1"/>
    <s v="Yes"/>
    <s v="Sat"/>
    <x v="0"/>
    <n v="3"/>
    <n v="50.81"/>
    <n v="10"/>
    <n v="1"/>
    <n v="1"/>
    <m/>
    <n v="1"/>
  </r>
  <r>
    <x v="1"/>
    <s v="Yes"/>
    <s v="Sat"/>
    <x v="0"/>
    <n v="2"/>
    <n v="15.81"/>
    <n v="3.16"/>
    <n v="1"/>
    <n v="1"/>
    <m/>
    <n v="1"/>
  </r>
  <r>
    <x v="1"/>
    <s v="Yes"/>
    <s v="Sun"/>
    <x v="0"/>
    <n v="2"/>
    <n v="7.25"/>
    <n v="5.15"/>
    <n v="1"/>
    <n v="1"/>
    <m/>
    <n v="1"/>
  </r>
  <r>
    <x v="1"/>
    <s v="Yes"/>
    <s v="Sun"/>
    <x v="0"/>
    <n v="2"/>
    <n v="31.85"/>
    <n v="3.18"/>
    <n v="1"/>
    <n v="1"/>
    <m/>
    <n v="1"/>
  </r>
  <r>
    <x v="1"/>
    <s v="Yes"/>
    <s v="Sun"/>
    <x v="0"/>
    <n v="2"/>
    <n v="16.82"/>
    <n v="4"/>
    <n v="1"/>
    <n v="1"/>
    <m/>
    <n v="1"/>
  </r>
  <r>
    <x v="1"/>
    <s v="Yes"/>
    <s v="Sun"/>
    <x v="0"/>
    <n v="2"/>
    <n v="32.9"/>
    <n v="3.11"/>
    <n v="1"/>
    <n v="1"/>
    <m/>
    <n v="1"/>
  </r>
  <r>
    <x v="1"/>
    <s v="Yes"/>
    <s v="Sun"/>
    <x v="0"/>
    <n v="2"/>
    <n v="17.89"/>
    <n v="2"/>
    <n v="1"/>
    <n v="1"/>
    <m/>
    <n v="1"/>
  </r>
  <r>
    <x v="1"/>
    <s v="Yes"/>
    <s v="Sun"/>
    <x v="0"/>
    <n v="2"/>
    <n v="14.48"/>
    <n v="2"/>
    <n v="1"/>
    <n v="1"/>
    <m/>
    <n v="1"/>
  </r>
  <r>
    <x v="0"/>
    <s v="Yes"/>
    <s v="Sun"/>
    <x v="0"/>
    <n v="2"/>
    <n v="9.6"/>
    <n v="4"/>
    <n v="2"/>
    <n v="1"/>
    <m/>
    <n v="1"/>
  </r>
  <r>
    <x v="1"/>
    <s v="Yes"/>
    <s v="Sun"/>
    <x v="0"/>
    <n v="2"/>
    <n v="34.630000000000003"/>
    <n v="3.55"/>
    <n v="1"/>
    <n v="1"/>
    <m/>
    <n v="1"/>
  </r>
  <r>
    <x v="1"/>
    <s v="Yes"/>
    <s v="Sun"/>
    <x v="0"/>
    <n v="4"/>
    <n v="34.65"/>
    <n v="3.68"/>
    <n v="1"/>
    <n v="1"/>
    <m/>
    <n v="1"/>
  </r>
  <r>
    <x v="1"/>
    <s v="Yes"/>
    <s v="Sun"/>
    <x v="0"/>
    <n v="2"/>
    <n v="23.33"/>
    <n v="5.65"/>
    <n v="1"/>
    <n v="1"/>
    <m/>
    <n v="1"/>
  </r>
  <r>
    <x v="1"/>
    <s v="Yes"/>
    <s v="Sun"/>
    <x v="0"/>
    <n v="3"/>
    <n v="45.35"/>
    <n v="3.5"/>
    <n v="1"/>
    <n v="1"/>
    <m/>
    <n v="1"/>
  </r>
  <r>
    <x v="1"/>
    <s v="Yes"/>
    <s v="Sun"/>
    <x v="0"/>
    <n v="4"/>
    <n v="23.17"/>
    <n v="6.5"/>
    <n v="1"/>
    <n v="1"/>
    <m/>
    <n v="1"/>
  </r>
  <r>
    <x v="1"/>
    <s v="Yes"/>
    <s v="Sun"/>
    <x v="0"/>
    <n v="2"/>
    <n v="40.549999999999997"/>
    <n v="3"/>
    <n v="1"/>
    <n v="1"/>
    <m/>
    <n v="1"/>
  </r>
  <r>
    <x v="1"/>
    <s v="No"/>
    <s v="Sun"/>
    <x v="0"/>
    <n v="5"/>
    <n v="20.69"/>
    <n v="5"/>
    <n v="1"/>
    <n v="2"/>
    <m/>
    <n v="1"/>
  </r>
  <r>
    <x v="0"/>
    <s v="Yes"/>
    <s v="Sun"/>
    <x v="0"/>
    <n v="3"/>
    <n v="20.9"/>
    <n v="3.5"/>
    <n v="2"/>
    <n v="1"/>
    <m/>
    <n v="1"/>
  </r>
  <r>
    <x v="1"/>
    <s v="Yes"/>
    <s v="Sun"/>
    <x v="0"/>
    <n v="5"/>
    <n v="30.46"/>
    <n v="2"/>
    <n v="1"/>
    <n v="1"/>
    <m/>
    <n v="1"/>
  </r>
  <r>
    <x v="0"/>
    <s v="Yes"/>
    <s v="Sun"/>
    <x v="0"/>
    <n v="3"/>
    <n v="18.149999999999999"/>
    <n v="3.5"/>
    <n v="2"/>
    <n v="1"/>
    <m/>
    <n v="1"/>
  </r>
  <r>
    <x v="1"/>
    <s v="Yes"/>
    <s v="Sun"/>
    <x v="0"/>
    <n v="3"/>
    <n v="23.1"/>
    <n v="4"/>
    <n v="1"/>
    <n v="1"/>
    <m/>
    <n v="1"/>
  </r>
  <r>
    <x v="1"/>
    <s v="Yes"/>
    <s v="Sun"/>
    <x v="0"/>
    <n v="2"/>
    <n v="15.69"/>
    <n v="1.5"/>
    <n v="1"/>
    <n v="1"/>
    <m/>
    <n v="1"/>
  </r>
  <r>
    <x v="0"/>
    <s v="Yes"/>
    <s v="Thur"/>
    <x v="1"/>
    <n v="2"/>
    <n v="19.809999999999999"/>
    <n v="4.1900000000000004"/>
    <n v="2"/>
    <n v="1"/>
    <m/>
    <n v="2"/>
  </r>
  <r>
    <x v="1"/>
    <s v="Yes"/>
    <s v="Thur"/>
    <x v="1"/>
    <n v="2"/>
    <n v="28.44"/>
    <n v="2.56"/>
    <n v="1"/>
    <n v="1"/>
    <m/>
    <n v="2"/>
  </r>
  <r>
    <x v="1"/>
    <s v="Yes"/>
    <s v="Thur"/>
    <x v="1"/>
    <n v="2"/>
    <n v="15.48"/>
    <n v="2.02"/>
    <n v="1"/>
    <n v="1"/>
    <m/>
    <n v="2"/>
  </r>
  <r>
    <x v="1"/>
    <s v="Yes"/>
    <s v="Thur"/>
    <x v="1"/>
    <n v="2"/>
    <n v="16.579999999999998"/>
    <n v="4"/>
    <n v="1"/>
    <n v="1"/>
    <m/>
    <n v="2"/>
  </r>
  <r>
    <x v="1"/>
    <s v="No"/>
    <s v="Thur"/>
    <x v="1"/>
    <n v="2"/>
    <n v="7.56"/>
    <n v="1.44"/>
    <n v="1"/>
    <n v="2"/>
    <m/>
    <n v="2"/>
  </r>
  <r>
    <x v="1"/>
    <s v="Yes"/>
    <s v="Thur"/>
    <x v="1"/>
    <n v="2"/>
    <n v="10.34"/>
    <n v="2"/>
    <n v="1"/>
    <n v="1"/>
    <m/>
    <n v="2"/>
  </r>
  <r>
    <x v="0"/>
    <s v="Yes"/>
    <s v="Thur"/>
    <x v="1"/>
    <n v="4"/>
    <n v="43.11"/>
    <n v="5"/>
    <n v="2"/>
    <n v="1"/>
    <m/>
    <n v="2"/>
  </r>
  <r>
    <x v="0"/>
    <s v="Yes"/>
    <s v="Thur"/>
    <x v="1"/>
    <n v="2"/>
    <n v="13"/>
    <n v="2"/>
    <n v="2"/>
    <n v="1"/>
    <m/>
    <n v="2"/>
  </r>
  <r>
    <x v="1"/>
    <s v="Yes"/>
    <s v="Thur"/>
    <x v="1"/>
    <n v="2"/>
    <n v="13.51"/>
    <n v="2"/>
    <n v="1"/>
    <n v="1"/>
    <m/>
    <n v="2"/>
  </r>
  <r>
    <x v="1"/>
    <s v="Yes"/>
    <s v="Thur"/>
    <x v="1"/>
    <n v="3"/>
    <n v="18.71"/>
    <n v="4"/>
    <n v="1"/>
    <n v="1"/>
    <m/>
    <n v="2"/>
  </r>
  <r>
    <x v="0"/>
    <s v="Yes"/>
    <s v="Thur"/>
    <x v="1"/>
    <n v="2"/>
    <n v="12.74"/>
    <n v="2.0099999999999998"/>
    <n v="2"/>
    <n v="1"/>
    <m/>
    <n v="2"/>
  </r>
  <r>
    <x v="0"/>
    <s v="Yes"/>
    <s v="Thur"/>
    <x v="1"/>
    <n v="2"/>
    <n v="13"/>
    <n v="2"/>
    <n v="2"/>
    <n v="1"/>
    <m/>
    <n v="2"/>
  </r>
  <r>
    <x v="0"/>
    <s v="Yes"/>
    <s v="Thur"/>
    <x v="1"/>
    <n v="2"/>
    <n v="16.399999999999999"/>
    <n v="2.5"/>
    <n v="2"/>
    <n v="1"/>
    <m/>
    <n v="2"/>
  </r>
  <r>
    <x v="1"/>
    <s v="Yes"/>
    <s v="Thur"/>
    <x v="1"/>
    <n v="4"/>
    <n v="20.53"/>
    <n v="4"/>
    <n v="1"/>
    <n v="1"/>
    <m/>
    <n v="2"/>
  </r>
  <r>
    <x v="0"/>
    <s v="Yes"/>
    <s v="Thur"/>
    <x v="1"/>
    <n v="3"/>
    <n v="16.47"/>
    <n v="3.23"/>
    <n v="2"/>
    <n v="1"/>
    <m/>
    <n v="2"/>
  </r>
  <r>
    <x v="1"/>
    <s v="Yes"/>
    <s v="Sat"/>
    <x v="0"/>
    <n v="3"/>
    <n v="26.59"/>
    <n v="3.41"/>
    <n v="1"/>
    <n v="1"/>
    <m/>
    <n v="1"/>
  </r>
  <r>
    <x v="1"/>
    <s v="Yes"/>
    <s v="Sat"/>
    <x v="0"/>
    <n v="4"/>
    <n v="38.729999999999997"/>
    <n v="3"/>
    <n v="1"/>
    <n v="1"/>
    <m/>
    <n v="1"/>
  </r>
  <r>
    <x v="1"/>
    <s v="Yes"/>
    <s v="Sat"/>
    <x v="0"/>
    <n v="2"/>
    <n v="24.27"/>
    <n v="2.0299999999999998"/>
    <n v="1"/>
    <n v="1"/>
    <m/>
    <n v="1"/>
  </r>
  <r>
    <x v="0"/>
    <s v="Yes"/>
    <s v="Sat"/>
    <x v="0"/>
    <n v="2"/>
    <n v="12.76"/>
    <n v="2.23"/>
    <n v="2"/>
    <n v="1"/>
    <m/>
    <n v="1"/>
  </r>
  <r>
    <x v="1"/>
    <s v="Yes"/>
    <s v="Sat"/>
    <x v="0"/>
    <n v="3"/>
    <n v="30.06"/>
    <n v="2"/>
    <n v="1"/>
    <n v="1"/>
    <m/>
    <n v="1"/>
  </r>
  <r>
    <x v="1"/>
    <s v="Yes"/>
    <s v="Sat"/>
    <x v="0"/>
    <n v="4"/>
    <n v="25.89"/>
    <n v="5.16"/>
    <n v="1"/>
    <n v="1"/>
    <m/>
    <n v="1"/>
  </r>
  <r>
    <x v="1"/>
    <s v="No"/>
    <s v="Sat"/>
    <x v="0"/>
    <n v="4"/>
    <n v="48.33"/>
    <n v="9"/>
    <n v="1"/>
    <n v="2"/>
    <m/>
    <n v="1"/>
  </r>
  <r>
    <x v="0"/>
    <s v="Yes"/>
    <s v="Sat"/>
    <x v="0"/>
    <n v="2"/>
    <n v="13.27"/>
    <n v="2.5"/>
    <n v="2"/>
    <n v="1"/>
    <m/>
    <n v="1"/>
  </r>
  <r>
    <x v="0"/>
    <s v="Yes"/>
    <s v="Sat"/>
    <x v="0"/>
    <n v="3"/>
    <n v="28.17"/>
    <n v="6.5"/>
    <n v="2"/>
    <n v="1"/>
    <m/>
    <n v="1"/>
  </r>
  <r>
    <x v="0"/>
    <s v="Yes"/>
    <s v="Sat"/>
    <x v="0"/>
    <n v="2"/>
    <n v="12.9"/>
    <n v="1.1000000000000001"/>
    <n v="2"/>
    <n v="1"/>
    <m/>
    <n v="1"/>
  </r>
  <r>
    <x v="1"/>
    <s v="Yes"/>
    <s v="Sat"/>
    <x v="0"/>
    <n v="5"/>
    <n v="28.15"/>
    <n v="3"/>
    <n v="1"/>
    <n v="1"/>
    <m/>
    <n v="1"/>
  </r>
  <r>
    <x v="1"/>
    <s v="Yes"/>
    <s v="Sat"/>
    <x v="0"/>
    <n v="2"/>
    <n v="11.59"/>
    <n v="1.5"/>
    <n v="1"/>
    <n v="1"/>
    <m/>
    <n v="1"/>
  </r>
  <r>
    <x v="1"/>
    <s v="Yes"/>
    <s v="Sat"/>
    <x v="0"/>
    <n v="2"/>
    <n v="7.74"/>
    <n v="1.44"/>
    <n v="1"/>
    <n v="1"/>
    <m/>
    <n v="1"/>
  </r>
  <r>
    <x v="0"/>
    <s v="Yes"/>
    <s v="Sat"/>
    <x v="0"/>
    <n v="4"/>
    <n v="30.14"/>
    <n v="3.09"/>
    <n v="2"/>
    <n v="1"/>
    <m/>
    <n v="1"/>
  </r>
  <r>
    <x v="1"/>
    <s v="Yes"/>
    <s v="Fri"/>
    <x v="1"/>
    <n v="2"/>
    <n v="12.16"/>
    <n v="2.2000000000000002"/>
    <n v="1"/>
    <n v="1"/>
    <m/>
    <n v="2"/>
  </r>
  <r>
    <x v="0"/>
    <s v="Yes"/>
    <s v="Fri"/>
    <x v="1"/>
    <n v="2"/>
    <n v="13.42"/>
    <n v="3.48"/>
    <n v="2"/>
    <n v="1"/>
    <m/>
    <n v="2"/>
  </r>
  <r>
    <x v="1"/>
    <s v="Yes"/>
    <s v="Fri"/>
    <x v="1"/>
    <n v="1"/>
    <n v="8.58"/>
    <n v="1.92"/>
    <n v="1"/>
    <n v="1"/>
    <m/>
    <n v="2"/>
  </r>
  <r>
    <x v="0"/>
    <s v="No"/>
    <s v="Fri"/>
    <x v="1"/>
    <n v="3"/>
    <n v="15.98"/>
    <n v="3"/>
    <n v="2"/>
    <n v="2"/>
    <m/>
    <n v="2"/>
  </r>
  <r>
    <x v="1"/>
    <s v="Yes"/>
    <s v="Fri"/>
    <x v="1"/>
    <n v="2"/>
    <n v="13.42"/>
    <n v="1.58"/>
    <n v="1"/>
    <n v="1"/>
    <m/>
    <n v="2"/>
  </r>
  <r>
    <x v="0"/>
    <s v="Yes"/>
    <s v="Fri"/>
    <x v="1"/>
    <n v="2"/>
    <n v="16.27"/>
    <n v="2.5"/>
    <n v="2"/>
    <n v="1"/>
    <m/>
    <n v="2"/>
  </r>
  <r>
    <x v="0"/>
    <s v="Yes"/>
    <s v="Fri"/>
    <x v="1"/>
    <n v="2"/>
    <n v="10.09"/>
    <n v="2"/>
    <n v="2"/>
    <n v="1"/>
    <m/>
    <n v="2"/>
  </r>
  <r>
    <x v="1"/>
    <s v="No"/>
    <s v="Sat"/>
    <x v="0"/>
    <n v="4"/>
    <n v="20.45"/>
    <n v="3"/>
    <n v="1"/>
    <n v="2"/>
    <m/>
    <n v="1"/>
  </r>
  <r>
    <x v="1"/>
    <s v="No"/>
    <s v="Sat"/>
    <x v="0"/>
    <n v="2"/>
    <n v="13.28"/>
    <n v="2.72"/>
    <n v="1"/>
    <n v="2"/>
    <m/>
    <n v="1"/>
  </r>
  <r>
    <x v="0"/>
    <s v="Yes"/>
    <s v="Sat"/>
    <x v="0"/>
    <n v="2"/>
    <n v="22.12"/>
    <n v="2.88"/>
    <n v="2"/>
    <n v="1"/>
    <m/>
    <n v="1"/>
  </r>
  <r>
    <x v="1"/>
    <s v="Yes"/>
    <s v="Sat"/>
    <x v="0"/>
    <n v="4"/>
    <n v="24.01"/>
    <n v="2"/>
    <n v="1"/>
    <n v="1"/>
    <m/>
    <n v="1"/>
  </r>
  <r>
    <x v="1"/>
    <s v="Yes"/>
    <s v="Sat"/>
    <x v="0"/>
    <n v="3"/>
    <n v="15.69"/>
    <n v="3"/>
    <n v="1"/>
    <n v="1"/>
    <m/>
    <n v="1"/>
  </r>
  <r>
    <x v="1"/>
    <s v="No"/>
    <s v="Sat"/>
    <x v="0"/>
    <n v="2"/>
    <n v="11.61"/>
    <n v="3.39"/>
    <n v="1"/>
    <n v="2"/>
    <m/>
    <n v="1"/>
  </r>
  <r>
    <x v="1"/>
    <s v="No"/>
    <s v="Sat"/>
    <x v="0"/>
    <n v="2"/>
    <n v="10.77"/>
    <n v="1.47"/>
    <n v="1"/>
    <n v="2"/>
    <m/>
    <n v="1"/>
  </r>
  <r>
    <x v="1"/>
    <s v="Yes"/>
    <s v="Sat"/>
    <x v="0"/>
    <n v="2"/>
    <n v="15.53"/>
    <n v="3"/>
    <n v="1"/>
    <n v="1"/>
    <m/>
    <n v="1"/>
  </r>
  <r>
    <x v="1"/>
    <s v="No"/>
    <s v="Sat"/>
    <x v="0"/>
    <n v="2"/>
    <n v="10.07"/>
    <n v="1.25"/>
    <n v="1"/>
    <n v="2"/>
    <m/>
    <n v="1"/>
  </r>
  <r>
    <x v="1"/>
    <s v="Yes"/>
    <s v="Sat"/>
    <x v="0"/>
    <n v="2"/>
    <n v="12.6"/>
    <n v="1"/>
    <n v="1"/>
    <n v="1"/>
    <m/>
    <n v="1"/>
  </r>
  <r>
    <x v="1"/>
    <s v="Yes"/>
    <s v="Sat"/>
    <x v="0"/>
    <n v="2"/>
    <n v="32.83"/>
    <n v="1.17"/>
    <n v="1"/>
    <n v="1"/>
    <m/>
    <n v="1"/>
  </r>
  <r>
    <x v="0"/>
    <s v="No"/>
    <s v="Sat"/>
    <x v="0"/>
    <n v="3"/>
    <n v="35.83"/>
    <n v="4.67"/>
    <n v="2"/>
    <n v="2"/>
    <m/>
    <n v="1"/>
  </r>
  <r>
    <x v="1"/>
    <s v="No"/>
    <s v="Sat"/>
    <x v="0"/>
    <n v="3"/>
    <n v="29.03"/>
    <n v="5.92"/>
    <n v="1"/>
    <n v="2"/>
    <m/>
    <n v="1"/>
  </r>
  <r>
    <x v="0"/>
    <s v="Yes"/>
    <s v="Sat"/>
    <x v="0"/>
    <n v="2"/>
    <n v="27.18"/>
    <n v="2"/>
    <n v="2"/>
    <n v="1"/>
    <m/>
    <n v="1"/>
  </r>
  <r>
    <x v="1"/>
    <s v="Yes"/>
    <s v="Sat"/>
    <x v="0"/>
    <n v="2"/>
    <n v="22.67"/>
    <n v="2"/>
    <n v="1"/>
    <n v="1"/>
    <m/>
    <n v="1"/>
  </r>
  <r>
    <x v="1"/>
    <s v="No"/>
    <s v="Sat"/>
    <x v="0"/>
    <n v="2"/>
    <n v="17.82"/>
    <n v="1.75"/>
    <n v="1"/>
    <n v="2"/>
    <m/>
    <n v="1"/>
  </r>
  <r>
    <x v="0"/>
    <s v="No"/>
    <s v="Thur"/>
    <x v="0"/>
    <n v="2"/>
    <n v="18.78"/>
    <n v="3"/>
    <n v="2"/>
    <n v="2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2AC00-2C5A-4DAA-9164-932BC616D91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3:G10" firstHeaderRow="1" firstDataRow="1" firstDataCol="1"/>
  <pivotFields count="11"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tip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2919B-742A-4D62-8897-738217F8ECB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1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ip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F94AE1-304D-4954-86ED-BA198ACE49FC}" name="Table1" displayName="Table1" ref="A1:K245" totalsRowShown="0">
  <autoFilter ref="A1:K245" xr:uid="{EEF94AE1-304D-4954-86ED-BA198ACE49FC}"/>
  <tableColumns count="11">
    <tableColumn id="1" xr3:uid="{7A69DC61-A446-40E9-8132-92353D2124FD}" name="sex"/>
    <tableColumn id="2" xr3:uid="{CC8BED04-5463-4D03-AAA5-9BC5F45347DA}" name="smoker"/>
    <tableColumn id="3" xr3:uid="{120D069D-DB6B-4720-AB90-D16C224B7258}" name="day"/>
    <tableColumn id="4" xr3:uid="{99B61126-B25A-4DC7-9779-BE5C479A8A27}" name="time"/>
    <tableColumn id="12" xr3:uid="{83810949-9178-4F27-8E02-AAA6B8E0B2D9}" name="Tip"/>
    <tableColumn id="5" xr3:uid="{BE0171B6-F4F9-4D92-AB72-E4C2E4973FBB}" name="size"/>
    <tableColumn id="6" xr3:uid="{BBF6B1FB-608E-4CED-88E7-F57550A41258}" name="total_bill"/>
    <tableColumn id="8" xr3:uid="{D3B15822-FDA6-4810-AF0B-8A0705A52D61}" name="Sex2">
      <calculatedColumnFormula>IF($A2 = "Male",1,2)</calculatedColumnFormula>
    </tableColumn>
    <tableColumn id="9" xr3:uid="{23EEA3BB-EA01-4DB6-A239-9A6BF6DFDBBA}" name="Smoker3">
      <calculatedColumnFormula>IF($B2 = "Yes",1,2)</calculatedColumnFormula>
    </tableColumn>
    <tableColumn id="10" xr3:uid="{65290405-6E00-4922-BFED-0DE0F8928C06}" name="Day4" dataDxfId="0">
      <calculatedColumnFormula>IF(C2="Sun", 1, IF(C2="Sat", 2, IF(C2="Thur", 3, IF(C2="Fri", 4, ""))))</calculatedColumnFormula>
    </tableColumn>
    <tableColumn id="11" xr3:uid="{DF093E44-A2B4-432C-BBAB-3D115B9EEE15}" name="Time2">
      <calculatedColumnFormula>IF($D2 = "Dinner",1,2)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Y245"/>
  <sheetViews>
    <sheetView topLeftCell="L1" workbookViewId="0">
      <selection activeCell="Q13" sqref="Q13:Q22"/>
    </sheetView>
  </sheetViews>
  <sheetFormatPr defaultColWidth="13.42578125" defaultRowHeight="15"/>
  <cols>
    <col min="13" max="14" width="13.140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  <c r="H1" t="s">
        <v>30</v>
      </c>
      <c r="I1" t="s">
        <v>31</v>
      </c>
      <c r="J1" t="s">
        <v>32</v>
      </c>
      <c r="K1" t="s">
        <v>96</v>
      </c>
    </row>
    <row r="2" spans="1:24" ht="15.75" thickBot="1">
      <c r="A2" t="s">
        <v>7</v>
      </c>
      <c r="B2" t="s">
        <v>8</v>
      </c>
      <c r="C2" t="s">
        <v>9</v>
      </c>
      <c r="D2" t="s">
        <v>10</v>
      </c>
      <c r="E2">
        <v>1.01</v>
      </c>
      <c r="F2">
        <v>2</v>
      </c>
      <c r="G2">
        <v>16.989999999999998</v>
      </c>
      <c r="H2">
        <f>IF($A2 = "Male",1,2)</f>
        <v>2</v>
      </c>
      <c r="I2">
        <f>IF($B2 = "Yes",1,2)</f>
        <v>2</v>
      </c>
      <c r="J2">
        <f t="shared" ref="J2:J33" si="0">IF(C2="Sun", 1, IF(C2="Sat", 2, IF(C2="Thur", 3, IF(C2="Fri", 4, ""))))</f>
        <v>1</v>
      </c>
      <c r="K2">
        <f>IF($D2 = "Dinner",1,2)</f>
        <v>1</v>
      </c>
    </row>
    <row r="3" spans="1:24">
      <c r="A3" t="s">
        <v>11</v>
      </c>
      <c r="B3" t="s">
        <v>8</v>
      </c>
      <c r="C3" t="s">
        <v>9</v>
      </c>
      <c r="D3" t="s">
        <v>10</v>
      </c>
      <c r="E3">
        <v>1.66</v>
      </c>
      <c r="F3">
        <v>3</v>
      </c>
      <c r="G3">
        <v>10.34</v>
      </c>
      <c r="H3">
        <f t="shared" ref="H3:H66" si="1">IF($A3 = "Male",1,2)</f>
        <v>1</v>
      </c>
      <c r="I3">
        <f t="shared" ref="I3:I66" si="2">IF($B3 = "Yes",1,2)</f>
        <v>2</v>
      </c>
      <c r="J3">
        <f t="shared" si="0"/>
        <v>1</v>
      </c>
      <c r="K3">
        <f t="shared" ref="K3:K66" si="3">IF($D3 = "Dinner",1,2)</f>
        <v>1</v>
      </c>
      <c r="M3" s="1" t="s">
        <v>12</v>
      </c>
      <c r="N3" s="1" t="s">
        <v>13</v>
      </c>
      <c r="Q3" s="10"/>
      <c r="R3" s="10" t="s">
        <v>37</v>
      </c>
      <c r="S3" s="10" t="s">
        <v>4</v>
      </c>
      <c r="T3" s="10" t="s">
        <v>5</v>
      </c>
      <c r="U3" s="10" t="s">
        <v>30</v>
      </c>
      <c r="V3" s="10" t="s">
        <v>31</v>
      </c>
      <c r="W3" s="10" t="s">
        <v>32</v>
      </c>
      <c r="X3" s="10" t="s">
        <v>96</v>
      </c>
    </row>
    <row r="4" spans="1:24">
      <c r="A4" t="s">
        <v>11</v>
      </c>
      <c r="B4" t="s">
        <v>8</v>
      </c>
      <c r="C4" t="s">
        <v>9</v>
      </c>
      <c r="D4" t="s">
        <v>10</v>
      </c>
      <c r="E4">
        <v>3.5</v>
      </c>
      <c r="F4">
        <v>3</v>
      </c>
      <c r="G4">
        <v>21.01</v>
      </c>
      <c r="H4">
        <f t="shared" si="1"/>
        <v>1</v>
      </c>
      <c r="I4">
        <f t="shared" si="2"/>
        <v>2</v>
      </c>
      <c r="J4">
        <f t="shared" si="0"/>
        <v>1</v>
      </c>
      <c r="K4">
        <f t="shared" si="3"/>
        <v>1</v>
      </c>
      <c r="M4" s="1" t="s">
        <v>1</v>
      </c>
      <c r="N4" s="1" t="s">
        <v>14</v>
      </c>
      <c r="Q4" t="s">
        <v>37</v>
      </c>
      <c r="R4">
        <v>1</v>
      </c>
    </row>
    <row r="5" spans="1:24">
      <c r="A5" t="s">
        <v>11</v>
      </c>
      <c r="B5" t="s">
        <v>8</v>
      </c>
      <c r="C5" t="s">
        <v>9</v>
      </c>
      <c r="D5" t="s">
        <v>10</v>
      </c>
      <c r="E5">
        <v>3.31</v>
      </c>
      <c r="F5">
        <v>2</v>
      </c>
      <c r="G5">
        <v>23.68</v>
      </c>
      <c r="H5">
        <f t="shared" si="1"/>
        <v>1</v>
      </c>
      <c r="I5">
        <f t="shared" si="2"/>
        <v>2</v>
      </c>
      <c r="J5">
        <f t="shared" si="0"/>
        <v>1</v>
      </c>
      <c r="K5">
        <f t="shared" si="3"/>
        <v>1</v>
      </c>
      <c r="M5" s="1" t="s">
        <v>2</v>
      </c>
      <c r="N5" s="1" t="s">
        <v>15</v>
      </c>
      <c r="Q5" t="s">
        <v>4</v>
      </c>
      <c r="R5">
        <v>0.48929877523035786</v>
      </c>
      <c r="S5">
        <v>1</v>
      </c>
    </row>
    <row r="6" spans="1:24">
      <c r="A6" t="s">
        <v>7</v>
      </c>
      <c r="B6" t="s">
        <v>8</v>
      </c>
      <c r="C6" t="s">
        <v>9</v>
      </c>
      <c r="D6" t="s">
        <v>10</v>
      </c>
      <c r="E6">
        <v>3.61</v>
      </c>
      <c r="F6">
        <v>4</v>
      </c>
      <c r="G6">
        <v>24.59</v>
      </c>
      <c r="H6">
        <f t="shared" si="1"/>
        <v>2</v>
      </c>
      <c r="I6">
        <f t="shared" si="2"/>
        <v>2</v>
      </c>
      <c r="J6">
        <f t="shared" si="0"/>
        <v>1</v>
      </c>
      <c r="K6">
        <f t="shared" si="3"/>
        <v>1</v>
      </c>
      <c r="M6" s="1" t="s">
        <v>3</v>
      </c>
      <c r="N6" s="1" t="s">
        <v>16</v>
      </c>
      <c r="Q6" t="s">
        <v>5</v>
      </c>
      <c r="R6">
        <v>0.67573410921136434</v>
      </c>
      <c r="S6">
        <v>0.59831513090490263</v>
      </c>
      <c r="T6">
        <v>1</v>
      </c>
    </row>
    <row r="7" spans="1:24">
      <c r="A7" t="s">
        <v>11</v>
      </c>
      <c r="B7" t="s">
        <v>8</v>
      </c>
      <c r="C7" t="s">
        <v>9</v>
      </c>
      <c r="D7" t="s">
        <v>10</v>
      </c>
      <c r="E7">
        <v>4.71</v>
      </c>
      <c r="F7">
        <v>4</v>
      </c>
      <c r="G7">
        <v>25.29</v>
      </c>
      <c r="H7">
        <f t="shared" si="1"/>
        <v>1</v>
      </c>
      <c r="I7">
        <f t="shared" si="2"/>
        <v>2</v>
      </c>
      <c r="J7">
        <f t="shared" si="0"/>
        <v>1</v>
      </c>
      <c r="K7">
        <f t="shared" si="3"/>
        <v>1</v>
      </c>
      <c r="M7" s="1" t="s">
        <v>4</v>
      </c>
      <c r="N7" s="1" t="s">
        <v>17</v>
      </c>
      <c r="Q7" t="s">
        <v>30</v>
      </c>
      <c r="R7">
        <v>-8.8862061090736341E-2</v>
      </c>
      <c r="S7">
        <v>-8.6194815382524506E-2</v>
      </c>
      <c r="T7">
        <v>-0.14487733703816522</v>
      </c>
      <c r="U7">
        <v>1</v>
      </c>
    </row>
    <row r="8" spans="1:24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2</v>
      </c>
      <c r="G8">
        <v>8.77</v>
      </c>
      <c r="H8">
        <f t="shared" si="1"/>
        <v>1</v>
      </c>
      <c r="I8">
        <f t="shared" si="2"/>
        <v>2</v>
      </c>
      <c r="J8">
        <f t="shared" si="0"/>
        <v>1</v>
      </c>
      <c r="K8">
        <f t="shared" si="3"/>
        <v>1</v>
      </c>
      <c r="M8" s="1" t="s">
        <v>18</v>
      </c>
      <c r="N8" s="1" t="s">
        <v>19</v>
      </c>
      <c r="Q8" t="s">
        <v>31</v>
      </c>
      <c r="R8">
        <v>-5.9285395278066162E-3</v>
      </c>
      <c r="S8">
        <v>0.13317824602877759</v>
      </c>
      <c r="T8">
        <v>-8.5721257322847813E-2</v>
      </c>
      <c r="U8">
        <v>2.8159517336962246E-3</v>
      </c>
      <c r="V8">
        <v>1</v>
      </c>
    </row>
    <row r="9" spans="1:24">
      <c r="A9" t="s">
        <v>11</v>
      </c>
      <c r="B9" t="s">
        <v>8</v>
      </c>
      <c r="C9" t="s">
        <v>9</v>
      </c>
      <c r="D9" t="s">
        <v>10</v>
      </c>
      <c r="E9">
        <v>3.12</v>
      </c>
      <c r="F9">
        <v>4</v>
      </c>
      <c r="G9">
        <v>26.88</v>
      </c>
      <c r="H9">
        <f t="shared" si="1"/>
        <v>1</v>
      </c>
      <c r="I9">
        <f t="shared" si="2"/>
        <v>2</v>
      </c>
      <c r="J9">
        <f t="shared" si="0"/>
        <v>1</v>
      </c>
      <c r="K9">
        <f t="shared" si="3"/>
        <v>1</v>
      </c>
      <c r="M9" s="1" t="s">
        <v>6</v>
      </c>
      <c r="N9" s="1" t="s">
        <v>20</v>
      </c>
      <c r="Q9" t="s">
        <v>32</v>
      </c>
      <c r="R9">
        <v>-0.13894711856743439</v>
      </c>
      <c r="S9">
        <v>-0.2117502072850479</v>
      </c>
      <c r="T9">
        <v>-0.17531196879448163</v>
      </c>
      <c r="U9">
        <v>0.21537409198654681</v>
      </c>
      <c r="V9">
        <v>-0.17081844613899894</v>
      </c>
      <c r="W9">
        <v>1</v>
      </c>
    </row>
    <row r="10" spans="1:24" ht="15.75" thickBot="1">
      <c r="A10" t="s">
        <v>11</v>
      </c>
      <c r="B10" t="s">
        <v>8</v>
      </c>
      <c r="C10" t="s">
        <v>9</v>
      </c>
      <c r="D10" t="s">
        <v>10</v>
      </c>
      <c r="E10">
        <v>1.96</v>
      </c>
      <c r="F10">
        <v>2</v>
      </c>
      <c r="G10">
        <v>15.04</v>
      </c>
      <c r="H10">
        <f t="shared" si="1"/>
        <v>1</v>
      </c>
      <c r="I10">
        <f t="shared" si="2"/>
        <v>2</v>
      </c>
      <c r="J10">
        <f t="shared" si="0"/>
        <v>1</v>
      </c>
      <c r="K10">
        <f t="shared" si="3"/>
        <v>1</v>
      </c>
      <c r="Q10" s="9" t="s">
        <v>96</v>
      </c>
      <c r="R10" s="9">
        <v>-0.12162906226028659</v>
      </c>
      <c r="S10" s="9">
        <v>-0.10341090969324034</v>
      </c>
      <c r="T10" s="9">
        <v>-0.18311760533651472</v>
      </c>
      <c r="U10" s="9">
        <v>0.20523129613344498</v>
      </c>
      <c r="V10" s="9">
        <v>5.492110359570699E-2</v>
      </c>
      <c r="W10" s="9">
        <v>0.67047036201743682</v>
      </c>
      <c r="X10" s="9">
        <v>1</v>
      </c>
    </row>
    <row r="11" spans="1:24">
      <c r="A11" t="s">
        <v>11</v>
      </c>
      <c r="B11" t="s">
        <v>8</v>
      </c>
      <c r="C11" t="s">
        <v>9</v>
      </c>
      <c r="D11" t="s">
        <v>10</v>
      </c>
      <c r="E11">
        <v>3.23</v>
      </c>
      <c r="F11">
        <v>2</v>
      </c>
      <c r="G11">
        <v>14.78</v>
      </c>
      <c r="H11">
        <f t="shared" si="1"/>
        <v>1</v>
      </c>
      <c r="I11">
        <f t="shared" si="2"/>
        <v>2</v>
      </c>
      <c r="J11">
        <f t="shared" si="0"/>
        <v>1</v>
      </c>
      <c r="K11">
        <f t="shared" si="3"/>
        <v>1</v>
      </c>
    </row>
    <row r="12" spans="1:24">
      <c r="A12" t="s">
        <v>11</v>
      </c>
      <c r="B12" t="s">
        <v>8</v>
      </c>
      <c r="C12" t="s">
        <v>9</v>
      </c>
      <c r="D12" t="s">
        <v>10</v>
      </c>
      <c r="E12">
        <v>1.71</v>
      </c>
      <c r="F12">
        <v>2</v>
      </c>
      <c r="G12">
        <v>10.27</v>
      </c>
      <c r="H12">
        <f t="shared" si="1"/>
        <v>1</v>
      </c>
      <c r="I12">
        <f t="shared" si="2"/>
        <v>2</v>
      </c>
      <c r="J12">
        <f t="shared" si="0"/>
        <v>1</v>
      </c>
      <c r="K12">
        <f t="shared" si="3"/>
        <v>1</v>
      </c>
      <c r="M12" t="s">
        <v>26</v>
      </c>
    </row>
    <row r="13" spans="1:24">
      <c r="A13" t="s">
        <v>7</v>
      </c>
      <c r="B13" t="s">
        <v>8</v>
      </c>
      <c r="C13" t="s">
        <v>9</v>
      </c>
      <c r="D13" t="s">
        <v>10</v>
      </c>
      <c r="E13">
        <v>5</v>
      </c>
      <c r="F13">
        <v>4</v>
      </c>
      <c r="G13">
        <v>35.26</v>
      </c>
      <c r="H13">
        <f t="shared" si="1"/>
        <v>2</v>
      </c>
      <c r="I13">
        <f t="shared" si="2"/>
        <v>2</v>
      </c>
      <c r="J13">
        <f t="shared" si="0"/>
        <v>1</v>
      </c>
      <c r="K13">
        <f t="shared" si="3"/>
        <v>1</v>
      </c>
      <c r="M13" t="s">
        <v>11</v>
      </c>
      <c r="N13">
        <v>1</v>
      </c>
      <c r="Q13" t="s">
        <v>38</v>
      </c>
    </row>
    <row r="14" spans="1:24" ht="15.75" thickBot="1">
      <c r="A14" t="s">
        <v>11</v>
      </c>
      <c r="B14" t="s">
        <v>8</v>
      </c>
      <c r="C14" t="s">
        <v>9</v>
      </c>
      <c r="D14" t="s">
        <v>10</v>
      </c>
      <c r="E14">
        <v>1.57</v>
      </c>
      <c r="F14">
        <v>2</v>
      </c>
      <c r="G14">
        <v>15.42</v>
      </c>
      <c r="H14">
        <f t="shared" si="1"/>
        <v>1</v>
      </c>
      <c r="I14">
        <f t="shared" si="2"/>
        <v>2</v>
      </c>
      <c r="J14">
        <f t="shared" si="0"/>
        <v>1</v>
      </c>
      <c r="K14">
        <f t="shared" si="3"/>
        <v>1</v>
      </c>
      <c r="M14" t="s">
        <v>7</v>
      </c>
      <c r="N14">
        <v>2</v>
      </c>
    </row>
    <row r="15" spans="1:24">
      <c r="A15" t="s">
        <v>11</v>
      </c>
      <c r="B15" t="s">
        <v>8</v>
      </c>
      <c r="C15" t="s">
        <v>9</v>
      </c>
      <c r="D15" t="s">
        <v>10</v>
      </c>
      <c r="E15">
        <v>3</v>
      </c>
      <c r="F15">
        <v>4</v>
      </c>
      <c r="G15">
        <v>18.43</v>
      </c>
      <c r="H15">
        <f t="shared" si="1"/>
        <v>1</v>
      </c>
      <c r="I15">
        <f t="shared" si="2"/>
        <v>2</v>
      </c>
      <c r="J15">
        <f t="shared" si="0"/>
        <v>1</v>
      </c>
      <c r="K15">
        <f t="shared" si="3"/>
        <v>1</v>
      </c>
      <c r="Q15" s="11" t="s">
        <v>39</v>
      </c>
      <c r="R15" s="11"/>
    </row>
    <row r="16" spans="1:24">
      <c r="A16" t="s">
        <v>7</v>
      </c>
      <c r="B16" t="s">
        <v>8</v>
      </c>
      <c r="C16" t="s">
        <v>9</v>
      </c>
      <c r="D16" t="s">
        <v>10</v>
      </c>
      <c r="E16">
        <v>3.02</v>
      </c>
      <c r="F16">
        <v>2</v>
      </c>
      <c r="G16">
        <v>14.83</v>
      </c>
      <c r="H16">
        <f t="shared" si="1"/>
        <v>2</v>
      </c>
      <c r="I16">
        <f t="shared" si="2"/>
        <v>2</v>
      </c>
      <c r="J16">
        <f t="shared" si="0"/>
        <v>1</v>
      </c>
      <c r="K16">
        <f t="shared" si="3"/>
        <v>1</v>
      </c>
      <c r="M16" t="s">
        <v>27</v>
      </c>
      <c r="Q16" t="s">
        <v>40</v>
      </c>
      <c r="R16">
        <v>0.68467665424467128</v>
      </c>
    </row>
    <row r="17" spans="1:25">
      <c r="A17" t="s">
        <v>11</v>
      </c>
      <c r="B17" t="s">
        <v>8</v>
      </c>
      <c r="C17" t="s">
        <v>9</v>
      </c>
      <c r="D17" t="s">
        <v>10</v>
      </c>
      <c r="E17">
        <v>3.92</v>
      </c>
      <c r="F17">
        <v>2</v>
      </c>
      <c r="G17">
        <v>21.58</v>
      </c>
      <c r="H17">
        <f t="shared" si="1"/>
        <v>1</v>
      </c>
      <c r="I17">
        <f t="shared" si="2"/>
        <v>2</v>
      </c>
      <c r="J17">
        <f t="shared" si="0"/>
        <v>1</v>
      </c>
      <c r="K17">
        <f t="shared" si="3"/>
        <v>1</v>
      </c>
      <c r="M17" t="s">
        <v>22</v>
      </c>
      <c r="N17">
        <v>1</v>
      </c>
      <c r="Q17" t="s">
        <v>41</v>
      </c>
      <c r="R17">
        <v>0.46878212086767718</v>
      </c>
    </row>
    <row r="18" spans="1:25">
      <c r="A18" t="s">
        <v>7</v>
      </c>
      <c r="B18" t="s">
        <v>8</v>
      </c>
      <c r="C18" t="s">
        <v>9</v>
      </c>
      <c r="D18" t="s">
        <v>10</v>
      </c>
      <c r="E18">
        <v>1.67</v>
      </c>
      <c r="F18">
        <v>3</v>
      </c>
      <c r="G18">
        <v>10.33</v>
      </c>
      <c r="H18">
        <f t="shared" si="1"/>
        <v>2</v>
      </c>
      <c r="I18">
        <f t="shared" si="2"/>
        <v>2</v>
      </c>
      <c r="J18">
        <f t="shared" si="0"/>
        <v>1</v>
      </c>
      <c r="K18">
        <f t="shared" si="3"/>
        <v>1</v>
      </c>
      <c r="M18" t="s">
        <v>8</v>
      </c>
      <c r="N18">
        <v>2</v>
      </c>
      <c r="Q18" t="s">
        <v>42</v>
      </c>
      <c r="R18">
        <v>0.45533356696559307</v>
      </c>
    </row>
    <row r="19" spans="1:25">
      <c r="A19" t="s">
        <v>11</v>
      </c>
      <c r="B19" t="s">
        <v>8</v>
      </c>
      <c r="C19" t="s">
        <v>9</v>
      </c>
      <c r="D19" t="s">
        <v>10</v>
      </c>
      <c r="E19">
        <v>3.71</v>
      </c>
      <c r="F19">
        <v>3</v>
      </c>
      <c r="G19">
        <v>16.29</v>
      </c>
      <c r="H19">
        <f t="shared" si="1"/>
        <v>1</v>
      </c>
      <c r="I19">
        <f t="shared" si="2"/>
        <v>2</v>
      </c>
      <c r="J19">
        <f t="shared" si="0"/>
        <v>1</v>
      </c>
      <c r="K19">
        <f t="shared" si="3"/>
        <v>1</v>
      </c>
      <c r="Q19" t="s">
        <v>43</v>
      </c>
      <c r="R19">
        <v>1.02114601253673</v>
      </c>
    </row>
    <row r="20" spans="1:25" ht="15.75" thickBot="1">
      <c r="A20" t="s">
        <v>7</v>
      </c>
      <c r="B20" t="s">
        <v>8</v>
      </c>
      <c r="C20" t="s">
        <v>9</v>
      </c>
      <c r="D20" t="s">
        <v>10</v>
      </c>
      <c r="E20">
        <v>3.5</v>
      </c>
      <c r="F20">
        <v>3</v>
      </c>
      <c r="G20">
        <v>16.97</v>
      </c>
      <c r="H20">
        <f t="shared" si="1"/>
        <v>2</v>
      </c>
      <c r="I20">
        <f t="shared" si="2"/>
        <v>2</v>
      </c>
      <c r="J20">
        <f t="shared" si="0"/>
        <v>1</v>
      </c>
      <c r="K20">
        <f t="shared" si="3"/>
        <v>1</v>
      </c>
      <c r="M20" t="s">
        <v>28</v>
      </c>
      <c r="Q20" s="9" t="s">
        <v>44</v>
      </c>
      <c r="R20" s="9">
        <v>244</v>
      </c>
    </row>
    <row r="21" spans="1:25">
      <c r="A21" t="s">
        <v>11</v>
      </c>
      <c r="B21" t="s">
        <v>8</v>
      </c>
      <c r="C21" t="s">
        <v>21</v>
      </c>
      <c r="D21" t="s">
        <v>10</v>
      </c>
      <c r="E21">
        <v>3.35</v>
      </c>
      <c r="F21">
        <v>3</v>
      </c>
      <c r="G21">
        <v>20.65</v>
      </c>
      <c r="H21">
        <f t="shared" si="1"/>
        <v>1</v>
      </c>
      <c r="I21">
        <f t="shared" si="2"/>
        <v>2</v>
      </c>
      <c r="J21">
        <f t="shared" si="0"/>
        <v>2</v>
      </c>
      <c r="K21">
        <f t="shared" si="3"/>
        <v>1</v>
      </c>
      <c r="M21" t="s">
        <v>9</v>
      </c>
      <c r="N21">
        <v>1</v>
      </c>
    </row>
    <row r="22" spans="1:25" ht="15.75" thickBot="1">
      <c r="A22" t="s">
        <v>11</v>
      </c>
      <c r="B22" t="s">
        <v>8</v>
      </c>
      <c r="C22" t="s">
        <v>21</v>
      </c>
      <c r="D22" t="s">
        <v>10</v>
      </c>
      <c r="E22">
        <v>4.08</v>
      </c>
      <c r="F22">
        <v>2</v>
      </c>
      <c r="G22">
        <v>17.920000000000002</v>
      </c>
      <c r="H22">
        <f t="shared" si="1"/>
        <v>1</v>
      </c>
      <c r="I22">
        <f t="shared" si="2"/>
        <v>2</v>
      </c>
      <c r="J22">
        <f t="shared" si="0"/>
        <v>2</v>
      </c>
      <c r="K22">
        <f t="shared" si="3"/>
        <v>1</v>
      </c>
      <c r="M22" t="s">
        <v>21</v>
      </c>
      <c r="N22">
        <v>2</v>
      </c>
      <c r="Q22" t="s">
        <v>45</v>
      </c>
    </row>
    <row r="23" spans="1:25">
      <c r="A23" t="s">
        <v>7</v>
      </c>
      <c r="B23" t="s">
        <v>8</v>
      </c>
      <c r="C23" t="s">
        <v>21</v>
      </c>
      <c r="D23" t="s">
        <v>10</v>
      </c>
      <c r="E23">
        <v>2.75</v>
      </c>
      <c r="F23">
        <v>2</v>
      </c>
      <c r="G23">
        <v>20.29</v>
      </c>
      <c r="H23">
        <f t="shared" si="1"/>
        <v>2</v>
      </c>
      <c r="I23">
        <f t="shared" si="2"/>
        <v>2</v>
      </c>
      <c r="J23">
        <f t="shared" si="0"/>
        <v>2</v>
      </c>
      <c r="K23">
        <f t="shared" si="3"/>
        <v>1</v>
      </c>
      <c r="M23" t="s">
        <v>23</v>
      </c>
      <c r="N23">
        <v>3</v>
      </c>
      <c r="Q23" s="10"/>
      <c r="R23" s="10" t="s">
        <v>50</v>
      </c>
      <c r="S23" s="10" t="s">
        <v>51</v>
      </c>
      <c r="T23" s="10" t="s">
        <v>52</v>
      </c>
      <c r="U23" s="10" t="s">
        <v>53</v>
      </c>
      <c r="V23" s="10" t="s">
        <v>54</v>
      </c>
    </row>
    <row r="24" spans="1:25">
      <c r="A24" t="s">
        <v>7</v>
      </c>
      <c r="B24" t="s">
        <v>8</v>
      </c>
      <c r="C24" t="s">
        <v>21</v>
      </c>
      <c r="D24" t="s">
        <v>10</v>
      </c>
      <c r="E24">
        <v>2.23</v>
      </c>
      <c r="F24">
        <v>2</v>
      </c>
      <c r="G24">
        <v>15.77</v>
      </c>
      <c r="H24">
        <f t="shared" si="1"/>
        <v>2</v>
      </c>
      <c r="I24">
        <f t="shared" si="2"/>
        <v>2</v>
      </c>
      <c r="J24">
        <f t="shared" si="0"/>
        <v>2</v>
      </c>
      <c r="K24">
        <f t="shared" si="3"/>
        <v>1</v>
      </c>
      <c r="M24" t="s">
        <v>25</v>
      </c>
      <c r="N24">
        <v>4</v>
      </c>
      <c r="Q24" t="s">
        <v>46</v>
      </c>
      <c r="R24">
        <v>6</v>
      </c>
      <c r="S24">
        <v>218.08329164522058</v>
      </c>
      <c r="T24">
        <v>36.347215274203428</v>
      </c>
      <c r="U24">
        <v>34.857437036039236</v>
      </c>
      <c r="V24">
        <v>4.4907152788443999E-30</v>
      </c>
    </row>
    <row r="25" spans="1:25">
      <c r="A25" t="s">
        <v>11</v>
      </c>
      <c r="B25" t="s">
        <v>8</v>
      </c>
      <c r="C25" t="s">
        <v>21</v>
      </c>
      <c r="D25" t="s">
        <v>10</v>
      </c>
      <c r="E25">
        <v>7.58</v>
      </c>
      <c r="F25">
        <v>4</v>
      </c>
      <c r="G25">
        <v>39.42</v>
      </c>
      <c r="H25">
        <f t="shared" si="1"/>
        <v>1</v>
      </c>
      <c r="I25">
        <f t="shared" si="2"/>
        <v>2</v>
      </c>
      <c r="J25">
        <f t="shared" si="0"/>
        <v>2</v>
      </c>
      <c r="K25">
        <f t="shared" si="3"/>
        <v>1</v>
      </c>
      <c r="Q25" t="s">
        <v>47</v>
      </c>
      <c r="R25">
        <v>237</v>
      </c>
      <c r="S25">
        <v>247.12918540396026</v>
      </c>
      <c r="T25">
        <v>1.0427391789196636</v>
      </c>
    </row>
    <row r="26" spans="1:25" ht="15.75" thickBot="1">
      <c r="A26" t="s">
        <v>11</v>
      </c>
      <c r="B26" t="s">
        <v>8</v>
      </c>
      <c r="C26" t="s">
        <v>21</v>
      </c>
      <c r="D26" t="s">
        <v>10</v>
      </c>
      <c r="E26">
        <v>3.18</v>
      </c>
      <c r="F26">
        <v>2</v>
      </c>
      <c r="G26">
        <v>19.82</v>
      </c>
      <c r="H26">
        <f t="shared" si="1"/>
        <v>1</v>
      </c>
      <c r="I26">
        <f t="shared" si="2"/>
        <v>2</v>
      </c>
      <c r="J26">
        <f t="shared" si="0"/>
        <v>2</v>
      </c>
      <c r="K26">
        <f t="shared" si="3"/>
        <v>1</v>
      </c>
      <c r="M26" t="s">
        <v>29</v>
      </c>
      <c r="Q26" s="9" t="s">
        <v>48</v>
      </c>
      <c r="R26" s="9">
        <v>243</v>
      </c>
      <c r="S26" s="9">
        <v>465.21247704918085</v>
      </c>
      <c r="T26" s="9"/>
      <c r="U26" s="9"/>
      <c r="V26" s="9"/>
    </row>
    <row r="27" spans="1:25" ht="15.75" thickBot="1">
      <c r="A27" t="s">
        <v>11</v>
      </c>
      <c r="B27" t="s">
        <v>8</v>
      </c>
      <c r="C27" t="s">
        <v>21</v>
      </c>
      <c r="D27" t="s">
        <v>10</v>
      </c>
      <c r="E27">
        <v>2.34</v>
      </c>
      <c r="F27">
        <v>4</v>
      </c>
      <c r="G27">
        <v>17.809999999999999</v>
      </c>
      <c r="H27">
        <f t="shared" si="1"/>
        <v>1</v>
      </c>
      <c r="I27">
        <f t="shared" si="2"/>
        <v>2</v>
      </c>
      <c r="J27">
        <f t="shared" si="0"/>
        <v>2</v>
      </c>
      <c r="K27">
        <f t="shared" si="3"/>
        <v>1</v>
      </c>
      <c r="M27" t="s">
        <v>10</v>
      </c>
      <c r="N27">
        <v>1</v>
      </c>
    </row>
    <row r="28" spans="1:2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2</v>
      </c>
      <c r="G28">
        <v>13.37</v>
      </c>
      <c r="H28">
        <f t="shared" si="1"/>
        <v>1</v>
      </c>
      <c r="I28">
        <f t="shared" si="2"/>
        <v>2</v>
      </c>
      <c r="J28">
        <f t="shared" si="0"/>
        <v>2</v>
      </c>
      <c r="K28">
        <f t="shared" si="3"/>
        <v>1</v>
      </c>
      <c r="M28" t="s">
        <v>24</v>
      </c>
      <c r="N28">
        <v>2</v>
      </c>
      <c r="Q28" s="10"/>
      <c r="R28" s="10" t="s">
        <v>55</v>
      </c>
      <c r="S28" s="10" t="s">
        <v>43</v>
      </c>
      <c r="T28" s="10" t="s">
        <v>56</v>
      </c>
      <c r="U28" s="10" t="s">
        <v>57</v>
      </c>
      <c r="V28" s="10" t="s">
        <v>58</v>
      </c>
      <c r="W28" s="10" t="s">
        <v>59</v>
      </c>
      <c r="X28" s="10" t="s">
        <v>60</v>
      </c>
      <c r="Y28" s="10" t="s">
        <v>61</v>
      </c>
    </row>
    <row r="29" spans="1:2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2</v>
      </c>
      <c r="G29">
        <v>12.69</v>
      </c>
      <c r="H29">
        <f t="shared" si="1"/>
        <v>1</v>
      </c>
      <c r="I29">
        <f t="shared" si="2"/>
        <v>2</v>
      </c>
      <c r="J29">
        <f t="shared" si="0"/>
        <v>2</v>
      </c>
      <c r="K29">
        <f t="shared" si="3"/>
        <v>1</v>
      </c>
      <c r="Q29" t="s">
        <v>49</v>
      </c>
      <c r="R29">
        <v>0.51428098395816468</v>
      </c>
      <c r="S29">
        <v>0.40895874619601397</v>
      </c>
      <c r="T29">
        <v>1.2575375603085153</v>
      </c>
      <c r="U29">
        <v>0.20979676392770688</v>
      </c>
      <c r="V29">
        <v>-0.29137756531251513</v>
      </c>
      <c r="W29">
        <v>1.3199395332288444</v>
      </c>
      <c r="X29">
        <v>-0.29137756531251513</v>
      </c>
      <c r="Y29">
        <v>1.3199395332288444</v>
      </c>
    </row>
    <row r="30" spans="1:25">
      <c r="A30" t="s">
        <v>11</v>
      </c>
      <c r="B30" t="s">
        <v>8</v>
      </c>
      <c r="C30" t="s">
        <v>21</v>
      </c>
      <c r="D30" t="s">
        <v>10</v>
      </c>
      <c r="E30">
        <v>4.3</v>
      </c>
      <c r="F30">
        <v>2</v>
      </c>
      <c r="G30">
        <v>21.7</v>
      </c>
      <c r="H30">
        <f t="shared" si="1"/>
        <v>1</v>
      </c>
      <c r="I30">
        <f t="shared" si="2"/>
        <v>2</v>
      </c>
      <c r="J30">
        <f t="shared" si="0"/>
        <v>2</v>
      </c>
      <c r="K30">
        <f t="shared" si="3"/>
        <v>1</v>
      </c>
      <c r="Q30" t="s">
        <v>4</v>
      </c>
      <c r="R30">
        <v>0.17936676525235937</v>
      </c>
      <c r="S30">
        <v>8.9111038315663554E-2</v>
      </c>
      <c r="T30">
        <v>2.012845643398042</v>
      </c>
      <c r="U30">
        <v>4.5261959836261294E-2</v>
      </c>
      <c r="V30">
        <v>3.815880178511255E-3</v>
      </c>
      <c r="W30">
        <v>0.35491765032620748</v>
      </c>
      <c r="X30">
        <v>3.815880178511255E-3</v>
      </c>
      <c r="Y30">
        <v>0.35491765032620748</v>
      </c>
    </row>
    <row r="31" spans="1:25">
      <c r="A31" t="s">
        <v>7</v>
      </c>
      <c r="B31" t="s">
        <v>8</v>
      </c>
      <c r="C31" t="s">
        <v>21</v>
      </c>
      <c r="D31" t="s">
        <v>10</v>
      </c>
      <c r="E31">
        <v>3</v>
      </c>
      <c r="F31">
        <v>2</v>
      </c>
      <c r="G31">
        <v>19.649999999999999</v>
      </c>
      <c r="H31">
        <f t="shared" si="1"/>
        <v>2</v>
      </c>
      <c r="I31">
        <f t="shared" si="2"/>
        <v>2</v>
      </c>
      <c r="J31">
        <f t="shared" si="0"/>
        <v>2</v>
      </c>
      <c r="K31">
        <f t="shared" si="3"/>
        <v>1</v>
      </c>
      <c r="Q31" t="s">
        <v>5</v>
      </c>
      <c r="R31">
        <v>9.4075952634496168E-2</v>
      </c>
      <c r="S31">
        <v>9.5243995423683111E-3</v>
      </c>
      <c r="T31">
        <v>9.8773631047300121</v>
      </c>
      <c r="U31">
        <v>1.7161334802962328E-19</v>
      </c>
      <c r="V31">
        <v>7.5312656851353993E-2</v>
      </c>
      <c r="W31">
        <v>0.11283924841763834</v>
      </c>
      <c r="X31">
        <v>7.5312656851353993E-2</v>
      </c>
      <c r="Y31">
        <v>0.11283924841763834</v>
      </c>
    </row>
    <row r="32" spans="1:25">
      <c r="A32" t="s">
        <v>11</v>
      </c>
      <c r="B32" t="s">
        <v>8</v>
      </c>
      <c r="C32" t="s">
        <v>21</v>
      </c>
      <c r="D32" t="s">
        <v>10</v>
      </c>
      <c r="E32">
        <v>1.45</v>
      </c>
      <c r="F32">
        <v>2</v>
      </c>
      <c r="G32">
        <v>9.5500000000000007</v>
      </c>
      <c r="H32">
        <f t="shared" si="1"/>
        <v>1</v>
      </c>
      <c r="I32">
        <f t="shared" si="2"/>
        <v>2</v>
      </c>
      <c r="J32">
        <f t="shared" si="0"/>
        <v>2</v>
      </c>
      <c r="K32">
        <f t="shared" si="3"/>
        <v>1</v>
      </c>
      <c r="Q32" t="s">
        <v>30</v>
      </c>
      <c r="R32">
        <v>2.921608333794504E-2</v>
      </c>
      <c r="S32">
        <v>0.14106002052841651</v>
      </c>
      <c r="T32">
        <v>0.20711809929206318</v>
      </c>
      <c r="U32">
        <v>0.83609547124957317</v>
      </c>
      <c r="V32">
        <v>-0.24867554401105343</v>
      </c>
      <c r="W32">
        <v>0.30710771068694354</v>
      </c>
      <c r="X32">
        <v>-0.24867554401105343</v>
      </c>
      <c r="Y32">
        <v>0.30710771068694354</v>
      </c>
    </row>
    <row r="33" spans="1:25">
      <c r="A33" t="s">
        <v>11</v>
      </c>
      <c r="B33" t="s">
        <v>8</v>
      </c>
      <c r="C33" t="s">
        <v>21</v>
      </c>
      <c r="D33" t="s">
        <v>10</v>
      </c>
      <c r="E33">
        <v>2.5</v>
      </c>
      <c r="F33">
        <v>4</v>
      </c>
      <c r="G33">
        <v>18.350000000000001</v>
      </c>
      <c r="H33">
        <f t="shared" si="1"/>
        <v>1</v>
      </c>
      <c r="I33">
        <f t="shared" si="2"/>
        <v>2</v>
      </c>
      <c r="J33">
        <f t="shared" si="0"/>
        <v>2</v>
      </c>
      <c r="K33">
        <f t="shared" si="3"/>
        <v>1</v>
      </c>
      <c r="Q33" t="s">
        <v>31</v>
      </c>
      <c r="R33">
        <v>8.1040507598820602E-2</v>
      </c>
      <c r="S33">
        <v>0.14374224836627875</v>
      </c>
      <c r="T33">
        <v>0.56379045492815827</v>
      </c>
      <c r="U33">
        <v>0.57342983047784624</v>
      </c>
      <c r="V33">
        <v>-0.20213517299213929</v>
      </c>
      <c r="W33">
        <v>0.36421618818978047</v>
      </c>
      <c r="X33">
        <v>-0.20213517299213929</v>
      </c>
      <c r="Y33">
        <v>0.36421618818978047</v>
      </c>
    </row>
    <row r="34" spans="1:25">
      <c r="A34" t="s">
        <v>7</v>
      </c>
      <c r="B34" t="s">
        <v>8</v>
      </c>
      <c r="C34" t="s">
        <v>21</v>
      </c>
      <c r="D34" t="s">
        <v>10</v>
      </c>
      <c r="E34">
        <v>3</v>
      </c>
      <c r="F34">
        <v>2</v>
      </c>
      <c r="G34">
        <v>15.06</v>
      </c>
      <c r="H34">
        <f t="shared" si="1"/>
        <v>2</v>
      </c>
      <c r="I34">
        <f t="shared" si="2"/>
        <v>2</v>
      </c>
      <c r="J34">
        <f t="shared" ref="J34:J65" si="4">IF(C34="Sun", 1, IF(C34="Sat", 2, IF(C34="Thur", 3, IF(C34="Fri", 4, ""))))</f>
        <v>2</v>
      </c>
      <c r="K34">
        <f t="shared" si="3"/>
        <v>1</v>
      </c>
      <c r="Q34" t="s">
        <v>32</v>
      </c>
      <c r="R34">
        <v>-7.833820995545351E-3</v>
      </c>
      <c r="S34">
        <v>0.1003811206464959</v>
      </c>
      <c r="T34">
        <v>-7.8040780428553752E-2</v>
      </c>
      <c r="U34">
        <v>0.93786146088558475</v>
      </c>
      <c r="V34">
        <v>-0.20558703886035801</v>
      </c>
      <c r="W34">
        <v>0.18991939686926729</v>
      </c>
      <c r="X34">
        <v>-0.20558703886035801</v>
      </c>
      <c r="Y34">
        <v>0.18991939686926729</v>
      </c>
    </row>
    <row r="35" spans="1:25" ht="15.75" thickBot="1">
      <c r="A35" t="s">
        <v>7</v>
      </c>
      <c r="B35" t="s">
        <v>8</v>
      </c>
      <c r="C35" t="s">
        <v>21</v>
      </c>
      <c r="D35" t="s">
        <v>10</v>
      </c>
      <c r="E35">
        <v>2.4500000000000002</v>
      </c>
      <c r="F35">
        <v>4</v>
      </c>
      <c r="G35">
        <v>20.69</v>
      </c>
      <c r="H35">
        <f t="shared" si="1"/>
        <v>2</v>
      </c>
      <c r="I35">
        <f t="shared" si="2"/>
        <v>2</v>
      </c>
      <c r="J35">
        <f t="shared" si="4"/>
        <v>2</v>
      </c>
      <c r="K35">
        <f t="shared" si="3"/>
        <v>1</v>
      </c>
      <c r="Q35" s="9" t="s">
        <v>96</v>
      </c>
      <c r="R35" s="9">
        <v>5.7205401091735032E-3</v>
      </c>
      <c r="S35" s="9">
        <v>0.20369712273434973</v>
      </c>
      <c r="T35" s="9">
        <v>2.8083558728681249E-2</v>
      </c>
      <c r="U35" s="9">
        <v>0.97761914044562248</v>
      </c>
      <c r="V35" s="9">
        <v>-0.39556768252761471</v>
      </c>
      <c r="W35" s="9">
        <v>0.40700876274596171</v>
      </c>
      <c r="X35" s="9">
        <v>-0.39556768252761471</v>
      </c>
      <c r="Y35" s="9">
        <v>0.40700876274596171</v>
      </c>
    </row>
    <row r="36" spans="1:25">
      <c r="A36" t="s">
        <v>11</v>
      </c>
      <c r="B36" t="s">
        <v>8</v>
      </c>
      <c r="C36" t="s">
        <v>21</v>
      </c>
      <c r="D36" t="s">
        <v>10</v>
      </c>
      <c r="E36">
        <v>3.27</v>
      </c>
      <c r="F36">
        <v>2</v>
      </c>
      <c r="G36">
        <v>17.78</v>
      </c>
      <c r="H36">
        <f t="shared" si="1"/>
        <v>1</v>
      </c>
      <c r="I36">
        <f t="shared" si="2"/>
        <v>2</v>
      </c>
      <c r="J36">
        <f t="shared" si="4"/>
        <v>2</v>
      </c>
      <c r="K36">
        <f t="shared" si="3"/>
        <v>1</v>
      </c>
    </row>
    <row r="37" spans="1:25">
      <c r="A37" t="s">
        <v>11</v>
      </c>
      <c r="B37" t="s">
        <v>8</v>
      </c>
      <c r="C37" t="s">
        <v>21</v>
      </c>
      <c r="D37" t="s">
        <v>10</v>
      </c>
      <c r="E37">
        <v>3.6</v>
      </c>
      <c r="F37">
        <v>3</v>
      </c>
      <c r="G37">
        <v>24.06</v>
      </c>
      <c r="H37">
        <f t="shared" si="1"/>
        <v>1</v>
      </c>
      <c r="I37">
        <f t="shared" si="2"/>
        <v>2</v>
      </c>
      <c r="J37">
        <f t="shared" si="4"/>
        <v>2</v>
      </c>
      <c r="K37">
        <f t="shared" si="3"/>
        <v>1</v>
      </c>
    </row>
    <row r="38" spans="1:25">
      <c r="A38" t="s">
        <v>11</v>
      </c>
      <c r="B38" t="s">
        <v>8</v>
      </c>
      <c r="C38" t="s">
        <v>21</v>
      </c>
      <c r="D38" t="s">
        <v>10</v>
      </c>
      <c r="E38">
        <v>2</v>
      </c>
      <c r="F38">
        <v>3</v>
      </c>
      <c r="G38">
        <v>16.309999999999999</v>
      </c>
      <c r="H38">
        <f t="shared" si="1"/>
        <v>1</v>
      </c>
      <c r="I38">
        <f t="shared" si="2"/>
        <v>2</v>
      </c>
      <c r="J38">
        <f t="shared" si="4"/>
        <v>2</v>
      </c>
      <c r="K38">
        <f t="shared" si="3"/>
        <v>1</v>
      </c>
    </row>
    <row r="39" spans="1:25">
      <c r="A39" t="s">
        <v>7</v>
      </c>
      <c r="B39" t="s">
        <v>8</v>
      </c>
      <c r="C39" t="s">
        <v>21</v>
      </c>
      <c r="D39" t="s">
        <v>10</v>
      </c>
      <c r="E39">
        <v>3.07</v>
      </c>
      <c r="F39">
        <v>3</v>
      </c>
      <c r="G39">
        <v>16.93</v>
      </c>
      <c r="H39">
        <f t="shared" si="1"/>
        <v>2</v>
      </c>
      <c r="I39">
        <f t="shared" si="2"/>
        <v>2</v>
      </c>
      <c r="J39">
        <f t="shared" si="4"/>
        <v>2</v>
      </c>
      <c r="K39">
        <f t="shared" si="3"/>
        <v>1</v>
      </c>
    </row>
    <row r="40" spans="1:25">
      <c r="A40" t="s">
        <v>11</v>
      </c>
      <c r="B40" t="s">
        <v>8</v>
      </c>
      <c r="C40" t="s">
        <v>21</v>
      </c>
      <c r="D40" t="s">
        <v>10</v>
      </c>
      <c r="E40">
        <v>2.31</v>
      </c>
      <c r="F40">
        <v>3</v>
      </c>
      <c r="G40">
        <v>18.690000000000001</v>
      </c>
      <c r="H40">
        <f t="shared" si="1"/>
        <v>1</v>
      </c>
      <c r="I40">
        <f t="shared" si="2"/>
        <v>2</v>
      </c>
      <c r="J40">
        <f t="shared" si="4"/>
        <v>2</v>
      </c>
      <c r="K40">
        <f t="shared" si="3"/>
        <v>1</v>
      </c>
    </row>
    <row r="41" spans="1:25">
      <c r="A41" t="s">
        <v>11</v>
      </c>
      <c r="B41" t="s">
        <v>8</v>
      </c>
      <c r="C41" t="s">
        <v>21</v>
      </c>
      <c r="D41" t="s">
        <v>10</v>
      </c>
      <c r="E41">
        <v>5</v>
      </c>
      <c r="F41">
        <v>3</v>
      </c>
      <c r="G41">
        <v>31.27</v>
      </c>
      <c r="H41">
        <f t="shared" si="1"/>
        <v>1</v>
      </c>
      <c r="I41">
        <f t="shared" si="2"/>
        <v>2</v>
      </c>
      <c r="J41">
        <f t="shared" si="4"/>
        <v>2</v>
      </c>
      <c r="K41">
        <f t="shared" si="3"/>
        <v>1</v>
      </c>
    </row>
    <row r="42" spans="1:25">
      <c r="A42" t="s">
        <v>11</v>
      </c>
      <c r="B42" t="s">
        <v>8</v>
      </c>
      <c r="C42" t="s">
        <v>21</v>
      </c>
      <c r="D42" t="s">
        <v>10</v>
      </c>
      <c r="E42">
        <v>2.2400000000000002</v>
      </c>
      <c r="F42">
        <v>3</v>
      </c>
      <c r="G42">
        <v>16.04</v>
      </c>
      <c r="H42">
        <f t="shared" si="1"/>
        <v>1</v>
      </c>
      <c r="I42">
        <f t="shared" si="2"/>
        <v>2</v>
      </c>
      <c r="J42">
        <f t="shared" si="4"/>
        <v>2</v>
      </c>
      <c r="K42">
        <f t="shared" si="3"/>
        <v>1</v>
      </c>
    </row>
    <row r="43" spans="1:25">
      <c r="A43" t="s">
        <v>11</v>
      </c>
      <c r="B43" t="s">
        <v>8</v>
      </c>
      <c r="C43" t="s">
        <v>9</v>
      </c>
      <c r="D43" t="s">
        <v>10</v>
      </c>
      <c r="E43">
        <v>2.54</v>
      </c>
      <c r="F43">
        <v>2</v>
      </c>
      <c r="G43">
        <v>17.46</v>
      </c>
      <c r="H43">
        <f t="shared" si="1"/>
        <v>1</v>
      </c>
      <c r="I43">
        <f t="shared" si="2"/>
        <v>2</v>
      </c>
      <c r="J43">
        <f t="shared" si="4"/>
        <v>1</v>
      </c>
      <c r="K43">
        <f t="shared" si="3"/>
        <v>1</v>
      </c>
    </row>
    <row r="44" spans="1:25">
      <c r="A44" t="s">
        <v>11</v>
      </c>
      <c r="B44" t="s">
        <v>8</v>
      </c>
      <c r="C44" t="s">
        <v>9</v>
      </c>
      <c r="D44" t="s">
        <v>10</v>
      </c>
      <c r="E44">
        <v>3.06</v>
      </c>
      <c r="F44">
        <v>2</v>
      </c>
      <c r="G44">
        <v>13.94</v>
      </c>
      <c r="H44">
        <f t="shared" si="1"/>
        <v>1</v>
      </c>
      <c r="I44">
        <f t="shared" si="2"/>
        <v>2</v>
      </c>
      <c r="J44">
        <f t="shared" si="4"/>
        <v>1</v>
      </c>
      <c r="K44">
        <f t="shared" si="3"/>
        <v>1</v>
      </c>
    </row>
    <row r="45" spans="1:25">
      <c r="A45" t="s">
        <v>11</v>
      </c>
      <c r="B45" t="s">
        <v>8</v>
      </c>
      <c r="C45" t="s">
        <v>9</v>
      </c>
      <c r="D45" t="s">
        <v>10</v>
      </c>
      <c r="E45">
        <v>1.32</v>
      </c>
      <c r="F45">
        <v>2</v>
      </c>
      <c r="G45">
        <v>9.68</v>
      </c>
      <c r="H45">
        <f t="shared" si="1"/>
        <v>1</v>
      </c>
      <c r="I45">
        <f t="shared" si="2"/>
        <v>2</v>
      </c>
      <c r="J45">
        <f t="shared" si="4"/>
        <v>1</v>
      </c>
      <c r="K45">
        <f t="shared" si="3"/>
        <v>1</v>
      </c>
    </row>
    <row r="46" spans="1:25">
      <c r="A46" t="s">
        <v>11</v>
      </c>
      <c r="B46" t="s">
        <v>8</v>
      </c>
      <c r="C46" t="s">
        <v>9</v>
      </c>
      <c r="D46" t="s">
        <v>10</v>
      </c>
      <c r="E46">
        <v>5.6</v>
      </c>
      <c r="F46">
        <v>4</v>
      </c>
      <c r="G46">
        <v>30.4</v>
      </c>
      <c r="H46">
        <f t="shared" si="1"/>
        <v>1</v>
      </c>
      <c r="I46">
        <f t="shared" si="2"/>
        <v>2</v>
      </c>
      <c r="J46">
        <f t="shared" si="4"/>
        <v>1</v>
      </c>
      <c r="K46">
        <f t="shared" si="3"/>
        <v>1</v>
      </c>
    </row>
    <row r="47" spans="1:25">
      <c r="A47" t="s">
        <v>11</v>
      </c>
      <c r="B47" t="s">
        <v>8</v>
      </c>
      <c r="C47" t="s">
        <v>9</v>
      </c>
      <c r="D47" t="s">
        <v>10</v>
      </c>
      <c r="E47">
        <v>3</v>
      </c>
      <c r="F47">
        <v>2</v>
      </c>
      <c r="G47">
        <v>18.29</v>
      </c>
      <c r="H47">
        <f t="shared" si="1"/>
        <v>1</v>
      </c>
      <c r="I47">
        <f t="shared" si="2"/>
        <v>2</v>
      </c>
      <c r="J47">
        <f t="shared" si="4"/>
        <v>1</v>
      </c>
      <c r="K47">
        <f t="shared" si="3"/>
        <v>1</v>
      </c>
    </row>
    <row r="48" spans="1:25">
      <c r="A48" t="s">
        <v>11</v>
      </c>
      <c r="B48" t="s">
        <v>8</v>
      </c>
      <c r="C48" t="s">
        <v>9</v>
      </c>
      <c r="D48" t="s">
        <v>10</v>
      </c>
      <c r="E48">
        <v>5</v>
      </c>
      <c r="F48">
        <v>2</v>
      </c>
      <c r="G48">
        <v>22.23</v>
      </c>
      <c r="H48">
        <f t="shared" si="1"/>
        <v>1</v>
      </c>
      <c r="I48">
        <f t="shared" si="2"/>
        <v>2</v>
      </c>
      <c r="J48">
        <f t="shared" si="4"/>
        <v>1</v>
      </c>
      <c r="K48">
        <f t="shared" si="3"/>
        <v>1</v>
      </c>
    </row>
    <row r="49" spans="1:11">
      <c r="A49" t="s">
        <v>11</v>
      </c>
      <c r="B49" t="s">
        <v>8</v>
      </c>
      <c r="C49" t="s">
        <v>9</v>
      </c>
      <c r="D49" t="s">
        <v>10</v>
      </c>
      <c r="E49">
        <v>6</v>
      </c>
      <c r="F49">
        <v>4</v>
      </c>
      <c r="G49">
        <v>32.4</v>
      </c>
      <c r="H49">
        <f t="shared" si="1"/>
        <v>1</v>
      </c>
      <c r="I49">
        <f t="shared" si="2"/>
        <v>2</v>
      </c>
      <c r="J49">
        <f t="shared" si="4"/>
        <v>1</v>
      </c>
      <c r="K49">
        <f t="shared" si="3"/>
        <v>1</v>
      </c>
    </row>
    <row r="50" spans="1:11">
      <c r="A50" t="s">
        <v>11</v>
      </c>
      <c r="B50" t="s">
        <v>8</v>
      </c>
      <c r="C50" t="s">
        <v>9</v>
      </c>
      <c r="D50" t="s">
        <v>10</v>
      </c>
      <c r="E50">
        <v>2.0499999999999998</v>
      </c>
      <c r="F50">
        <v>3</v>
      </c>
      <c r="G50">
        <v>28.55</v>
      </c>
      <c r="H50">
        <f t="shared" si="1"/>
        <v>1</v>
      </c>
      <c r="I50">
        <f t="shared" si="2"/>
        <v>2</v>
      </c>
      <c r="J50">
        <f t="shared" si="4"/>
        <v>1</v>
      </c>
      <c r="K50">
        <f t="shared" si="3"/>
        <v>1</v>
      </c>
    </row>
    <row r="51" spans="1:11">
      <c r="A51" t="s">
        <v>11</v>
      </c>
      <c r="B51" t="s">
        <v>8</v>
      </c>
      <c r="C51" t="s">
        <v>9</v>
      </c>
      <c r="D51" t="s">
        <v>10</v>
      </c>
      <c r="E51">
        <v>3</v>
      </c>
      <c r="F51">
        <v>2</v>
      </c>
      <c r="G51">
        <v>18.04</v>
      </c>
      <c r="H51">
        <f t="shared" si="1"/>
        <v>1</v>
      </c>
      <c r="I51">
        <f t="shared" si="2"/>
        <v>2</v>
      </c>
      <c r="J51">
        <f t="shared" si="4"/>
        <v>1</v>
      </c>
      <c r="K51">
        <f t="shared" si="3"/>
        <v>1</v>
      </c>
    </row>
    <row r="52" spans="1:11">
      <c r="A52" t="s">
        <v>11</v>
      </c>
      <c r="B52" t="s">
        <v>8</v>
      </c>
      <c r="C52" t="s">
        <v>9</v>
      </c>
      <c r="D52" t="s">
        <v>10</v>
      </c>
      <c r="E52">
        <v>2.5</v>
      </c>
      <c r="F52">
        <v>2</v>
      </c>
      <c r="G52">
        <v>12.54</v>
      </c>
      <c r="H52">
        <f t="shared" si="1"/>
        <v>1</v>
      </c>
      <c r="I52">
        <f t="shared" si="2"/>
        <v>2</v>
      </c>
      <c r="J52">
        <f t="shared" si="4"/>
        <v>1</v>
      </c>
      <c r="K52">
        <f t="shared" si="3"/>
        <v>1</v>
      </c>
    </row>
    <row r="53" spans="1:11">
      <c r="A53" t="s">
        <v>7</v>
      </c>
      <c r="B53" t="s">
        <v>8</v>
      </c>
      <c r="C53" t="s">
        <v>9</v>
      </c>
      <c r="D53" t="s">
        <v>10</v>
      </c>
      <c r="E53">
        <v>2.6</v>
      </c>
      <c r="F53">
        <v>2</v>
      </c>
      <c r="G53">
        <v>10.29</v>
      </c>
      <c r="H53">
        <f t="shared" si="1"/>
        <v>2</v>
      </c>
      <c r="I53">
        <f t="shared" si="2"/>
        <v>2</v>
      </c>
      <c r="J53">
        <f t="shared" si="4"/>
        <v>1</v>
      </c>
      <c r="K53">
        <f t="shared" si="3"/>
        <v>1</v>
      </c>
    </row>
    <row r="54" spans="1:11">
      <c r="A54" t="s">
        <v>7</v>
      </c>
      <c r="B54" t="s">
        <v>8</v>
      </c>
      <c r="C54" t="s">
        <v>9</v>
      </c>
      <c r="D54" t="s">
        <v>10</v>
      </c>
      <c r="E54">
        <v>5.2</v>
      </c>
      <c r="F54">
        <v>4</v>
      </c>
      <c r="G54">
        <v>34.81</v>
      </c>
      <c r="H54">
        <f t="shared" si="1"/>
        <v>2</v>
      </c>
      <c r="I54">
        <f t="shared" si="2"/>
        <v>2</v>
      </c>
      <c r="J54">
        <f t="shared" si="4"/>
        <v>1</v>
      </c>
      <c r="K54">
        <f t="shared" si="3"/>
        <v>1</v>
      </c>
    </row>
    <row r="55" spans="1:11">
      <c r="A55" t="s">
        <v>11</v>
      </c>
      <c r="B55" t="s">
        <v>8</v>
      </c>
      <c r="C55" t="s">
        <v>9</v>
      </c>
      <c r="D55" t="s">
        <v>10</v>
      </c>
      <c r="E55">
        <v>1.56</v>
      </c>
      <c r="F55">
        <v>2</v>
      </c>
      <c r="G55">
        <v>9.94</v>
      </c>
      <c r="H55">
        <f t="shared" si="1"/>
        <v>1</v>
      </c>
      <c r="I55">
        <f t="shared" si="2"/>
        <v>2</v>
      </c>
      <c r="J55">
        <f t="shared" si="4"/>
        <v>1</v>
      </c>
      <c r="K55">
        <f t="shared" si="3"/>
        <v>1</v>
      </c>
    </row>
    <row r="56" spans="1:11">
      <c r="A56" t="s">
        <v>11</v>
      </c>
      <c r="B56" t="s">
        <v>8</v>
      </c>
      <c r="C56" t="s">
        <v>9</v>
      </c>
      <c r="D56" t="s">
        <v>10</v>
      </c>
      <c r="E56">
        <v>4.34</v>
      </c>
      <c r="F56">
        <v>4</v>
      </c>
      <c r="G56">
        <v>25.56</v>
      </c>
      <c r="H56">
        <f t="shared" si="1"/>
        <v>1</v>
      </c>
      <c r="I56">
        <f t="shared" si="2"/>
        <v>2</v>
      </c>
      <c r="J56">
        <f t="shared" si="4"/>
        <v>1</v>
      </c>
      <c r="K56">
        <f t="shared" si="3"/>
        <v>1</v>
      </c>
    </row>
    <row r="57" spans="1:11">
      <c r="A57" t="s">
        <v>11</v>
      </c>
      <c r="B57" t="s">
        <v>8</v>
      </c>
      <c r="C57" t="s">
        <v>9</v>
      </c>
      <c r="D57" t="s">
        <v>10</v>
      </c>
      <c r="E57">
        <v>3.51</v>
      </c>
      <c r="F57">
        <v>2</v>
      </c>
      <c r="G57">
        <v>19.489999999999998</v>
      </c>
      <c r="H57">
        <f t="shared" si="1"/>
        <v>1</v>
      </c>
      <c r="I57">
        <f t="shared" si="2"/>
        <v>2</v>
      </c>
      <c r="J57">
        <f t="shared" si="4"/>
        <v>1</v>
      </c>
      <c r="K57">
        <f t="shared" si="3"/>
        <v>1</v>
      </c>
    </row>
    <row r="58" spans="1:11">
      <c r="A58" t="s">
        <v>11</v>
      </c>
      <c r="B58" t="s">
        <v>22</v>
      </c>
      <c r="C58" t="s">
        <v>21</v>
      </c>
      <c r="D58" t="s">
        <v>10</v>
      </c>
      <c r="E58">
        <v>3</v>
      </c>
      <c r="F58">
        <v>4</v>
      </c>
      <c r="G58">
        <v>38.01</v>
      </c>
      <c r="H58">
        <f t="shared" si="1"/>
        <v>1</v>
      </c>
      <c r="I58">
        <f t="shared" si="2"/>
        <v>1</v>
      </c>
      <c r="J58">
        <f t="shared" si="4"/>
        <v>2</v>
      </c>
      <c r="K58">
        <f t="shared" si="3"/>
        <v>1</v>
      </c>
    </row>
    <row r="59" spans="1:11">
      <c r="A59" t="s">
        <v>7</v>
      </c>
      <c r="B59" t="s">
        <v>8</v>
      </c>
      <c r="C59" t="s">
        <v>21</v>
      </c>
      <c r="D59" t="s">
        <v>10</v>
      </c>
      <c r="E59">
        <v>1.5</v>
      </c>
      <c r="F59">
        <v>2</v>
      </c>
      <c r="G59">
        <v>26.41</v>
      </c>
      <c r="H59">
        <f t="shared" si="1"/>
        <v>2</v>
      </c>
      <c r="I59">
        <f t="shared" si="2"/>
        <v>2</v>
      </c>
      <c r="J59">
        <f t="shared" si="4"/>
        <v>2</v>
      </c>
      <c r="K59">
        <f t="shared" si="3"/>
        <v>1</v>
      </c>
    </row>
    <row r="60" spans="1:11">
      <c r="A60" t="s">
        <v>11</v>
      </c>
      <c r="B60" t="s">
        <v>22</v>
      </c>
      <c r="C60" t="s">
        <v>21</v>
      </c>
      <c r="D60" t="s">
        <v>10</v>
      </c>
      <c r="E60">
        <v>1.76</v>
      </c>
      <c r="F60">
        <v>2</v>
      </c>
      <c r="G60">
        <v>11.24</v>
      </c>
      <c r="H60">
        <f t="shared" si="1"/>
        <v>1</v>
      </c>
      <c r="I60">
        <f t="shared" si="2"/>
        <v>1</v>
      </c>
      <c r="J60">
        <f t="shared" si="4"/>
        <v>2</v>
      </c>
      <c r="K60">
        <f t="shared" si="3"/>
        <v>1</v>
      </c>
    </row>
    <row r="61" spans="1:11">
      <c r="A61" t="s">
        <v>11</v>
      </c>
      <c r="B61" t="s">
        <v>8</v>
      </c>
      <c r="C61" t="s">
        <v>21</v>
      </c>
      <c r="D61" t="s">
        <v>10</v>
      </c>
      <c r="E61">
        <v>6.73</v>
      </c>
      <c r="F61">
        <v>4</v>
      </c>
      <c r="G61">
        <v>48.27</v>
      </c>
      <c r="H61">
        <f t="shared" si="1"/>
        <v>1</v>
      </c>
      <c r="I61">
        <f t="shared" si="2"/>
        <v>2</v>
      </c>
      <c r="J61">
        <f t="shared" si="4"/>
        <v>2</v>
      </c>
      <c r="K61">
        <f t="shared" si="3"/>
        <v>1</v>
      </c>
    </row>
    <row r="62" spans="1:11">
      <c r="A62" t="s">
        <v>11</v>
      </c>
      <c r="B62" t="s">
        <v>22</v>
      </c>
      <c r="C62" t="s">
        <v>21</v>
      </c>
      <c r="D62" t="s">
        <v>10</v>
      </c>
      <c r="E62">
        <v>3.21</v>
      </c>
      <c r="F62">
        <v>2</v>
      </c>
      <c r="G62">
        <v>20.29</v>
      </c>
      <c r="H62">
        <f t="shared" si="1"/>
        <v>1</v>
      </c>
      <c r="I62">
        <f t="shared" si="2"/>
        <v>1</v>
      </c>
      <c r="J62">
        <f t="shared" si="4"/>
        <v>2</v>
      </c>
      <c r="K62">
        <f t="shared" si="3"/>
        <v>1</v>
      </c>
    </row>
    <row r="63" spans="1:11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2</v>
      </c>
      <c r="G63">
        <v>13.81</v>
      </c>
      <c r="H63">
        <f t="shared" si="1"/>
        <v>1</v>
      </c>
      <c r="I63">
        <f t="shared" si="2"/>
        <v>1</v>
      </c>
      <c r="J63">
        <f t="shared" si="4"/>
        <v>2</v>
      </c>
      <c r="K63">
        <f t="shared" si="3"/>
        <v>1</v>
      </c>
    </row>
    <row r="64" spans="1:11">
      <c r="A64" t="s">
        <v>11</v>
      </c>
      <c r="B64" t="s">
        <v>22</v>
      </c>
      <c r="C64" t="s">
        <v>21</v>
      </c>
      <c r="D64" t="s">
        <v>10</v>
      </c>
      <c r="E64">
        <v>1.98</v>
      </c>
      <c r="F64">
        <v>2</v>
      </c>
      <c r="G64">
        <v>11.02</v>
      </c>
      <c r="H64">
        <f t="shared" si="1"/>
        <v>1</v>
      </c>
      <c r="I64">
        <f t="shared" si="2"/>
        <v>1</v>
      </c>
      <c r="J64">
        <f t="shared" si="4"/>
        <v>2</v>
      </c>
      <c r="K64">
        <f t="shared" si="3"/>
        <v>1</v>
      </c>
    </row>
    <row r="65" spans="1:11">
      <c r="A65" t="s">
        <v>11</v>
      </c>
      <c r="B65" t="s">
        <v>22</v>
      </c>
      <c r="C65" t="s">
        <v>21</v>
      </c>
      <c r="D65" t="s">
        <v>10</v>
      </c>
      <c r="E65">
        <v>3.76</v>
      </c>
      <c r="F65">
        <v>4</v>
      </c>
      <c r="G65">
        <v>18.29</v>
      </c>
      <c r="H65">
        <f t="shared" si="1"/>
        <v>1</v>
      </c>
      <c r="I65">
        <f t="shared" si="2"/>
        <v>1</v>
      </c>
      <c r="J65">
        <f t="shared" si="4"/>
        <v>2</v>
      </c>
      <c r="K65">
        <f t="shared" si="3"/>
        <v>1</v>
      </c>
    </row>
    <row r="66" spans="1:11">
      <c r="A66" t="s">
        <v>11</v>
      </c>
      <c r="B66" t="s">
        <v>8</v>
      </c>
      <c r="C66" t="s">
        <v>21</v>
      </c>
      <c r="D66" t="s">
        <v>10</v>
      </c>
      <c r="E66">
        <v>2.64</v>
      </c>
      <c r="F66">
        <v>3</v>
      </c>
      <c r="G66">
        <v>17.59</v>
      </c>
      <c r="H66">
        <f t="shared" si="1"/>
        <v>1</v>
      </c>
      <c r="I66">
        <f t="shared" si="2"/>
        <v>2</v>
      </c>
      <c r="J66">
        <f t="shared" ref="J66:J129" si="5">IF(C66="Sun", 1, IF(C66="Sat", 2, IF(C66="Thur", 3, IF(C66="Fri", 4, ""))))</f>
        <v>2</v>
      </c>
      <c r="K66">
        <f t="shared" si="3"/>
        <v>1</v>
      </c>
    </row>
    <row r="67" spans="1:11">
      <c r="A67" t="s">
        <v>11</v>
      </c>
      <c r="B67" t="s">
        <v>8</v>
      </c>
      <c r="C67" t="s">
        <v>21</v>
      </c>
      <c r="D67" t="s">
        <v>10</v>
      </c>
      <c r="E67">
        <v>3.15</v>
      </c>
      <c r="F67">
        <v>3</v>
      </c>
      <c r="G67">
        <v>20.079999999999998</v>
      </c>
      <c r="H67">
        <f t="shared" ref="H67:H130" si="6">IF($A67 = "Male",1,2)</f>
        <v>1</v>
      </c>
      <c r="I67">
        <f t="shared" ref="I67:I130" si="7">IF($B67 = "Yes",1,2)</f>
        <v>2</v>
      </c>
      <c r="J67">
        <f t="shared" si="5"/>
        <v>2</v>
      </c>
      <c r="K67">
        <f t="shared" ref="K67:K130" si="8">IF($D67 = "Dinner",1,2)</f>
        <v>1</v>
      </c>
    </row>
    <row r="68" spans="1:11">
      <c r="A68" t="s">
        <v>7</v>
      </c>
      <c r="B68" t="s">
        <v>8</v>
      </c>
      <c r="C68" t="s">
        <v>21</v>
      </c>
      <c r="D68" t="s">
        <v>10</v>
      </c>
      <c r="E68">
        <v>2.4700000000000002</v>
      </c>
      <c r="F68">
        <v>2</v>
      </c>
      <c r="G68">
        <v>16.45</v>
      </c>
      <c r="H68">
        <f t="shared" si="6"/>
        <v>2</v>
      </c>
      <c r="I68">
        <f t="shared" si="7"/>
        <v>2</v>
      </c>
      <c r="J68">
        <f t="shared" si="5"/>
        <v>2</v>
      </c>
      <c r="K68">
        <f t="shared" si="8"/>
        <v>1</v>
      </c>
    </row>
    <row r="69" spans="1:11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1</v>
      </c>
      <c r="G69">
        <v>3.07</v>
      </c>
      <c r="H69">
        <f t="shared" si="6"/>
        <v>2</v>
      </c>
      <c r="I69">
        <f t="shared" si="7"/>
        <v>1</v>
      </c>
      <c r="J69">
        <f t="shared" si="5"/>
        <v>2</v>
      </c>
      <c r="K69">
        <f t="shared" si="8"/>
        <v>1</v>
      </c>
    </row>
    <row r="70" spans="1:11">
      <c r="A70" t="s">
        <v>11</v>
      </c>
      <c r="B70" t="s">
        <v>8</v>
      </c>
      <c r="C70" t="s">
        <v>21</v>
      </c>
      <c r="D70" t="s">
        <v>10</v>
      </c>
      <c r="E70">
        <v>2.0099999999999998</v>
      </c>
      <c r="F70">
        <v>2</v>
      </c>
      <c r="G70">
        <v>20.23</v>
      </c>
      <c r="H70">
        <f t="shared" si="6"/>
        <v>1</v>
      </c>
      <c r="I70">
        <f t="shared" si="7"/>
        <v>2</v>
      </c>
      <c r="J70">
        <f t="shared" si="5"/>
        <v>2</v>
      </c>
      <c r="K70">
        <f t="shared" si="8"/>
        <v>1</v>
      </c>
    </row>
    <row r="71" spans="1:11">
      <c r="A71" t="s">
        <v>11</v>
      </c>
      <c r="B71" t="s">
        <v>22</v>
      </c>
      <c r="C71" t="s">
        <v>21</v>
      </c>
      <c r="D71" t="s">
        <v>10</v>
      </c>
      <c r="E71">
        <v>2.09</v>
      </c>
      <c r="F71">
        <v>2</v>
      </c>
      <c r="G71">
        <v>15.01</v>
      </c>
      <c r="H71">
        <f t="shared" si="6"/>
        <v>1</v>
      </c>
      <c r="I71">
        <f t="shared" si="7"/>
        <v>1</v>
      </c>
      <c r="J71">
        <f t="shared" si="5"/>
        <v>2</v>
      </c>
      <c r="K71">
        <f t="shared" si="8"/>
        <v>1</v>
      </c>
    </row>
    <row r="72" spans="1:11">
      <c r="A72" t="s">
        <v>11</v>
      </c>
      <c r="B72" t="s">
        <v>8</v>
      </c>
      <c r="C72" t="s">
        <v>21</v>
      </c>
      <c r="D72" t="s">
        <v>10</v>
      </c>
      <c r="E72">
        <v>1.97</v>
      </c>
      <c r="F72">
        <v>2</v>
      </c>
      <c r="G72">
        <v>12.02</v>
      </c>
      <c r="H72">
        <f t="shared" si="6"/>
        <v>1</v>
      </c>
      <c r="I72">
        <f t="shared" si="7"/>
        <v>2</v>
      </c>
      <c r="J72">
        <f t="shared" si="5"/>
        <v>2</v>
      </c>
      <c r="K72">
        <f t="shared" si="8"/>
        <v>1</v>
      </c>
    </row>
    <row r="73" spans="1:11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3</v>
      </c>
      <c r="G73">
        <v>17.07</v>
      </c>
      <c r="H73">
        <f t="shared" si="6"/>
        <v>2</v>
      </c>
      <c r="I73">
        <f t="shared" si="7"/>
        <v>2</v>
      </c>
      <c r="J73">
        <f t="shared" si="5"/>
        <v>2</v>
      </c>
      <c r="K73">
        <f t="shared" si="8"/>
        <v>1</v>
      </c>
    </row>
    <row r="74" spans="1:11">
      <c r="A74" t="s">
        <v>7</v>
      </c>
      <c r="B74" t="s">
        <v>22</v>
      </c>
      <c r="C74" t="s">
        <v>21</v>
      </c>
      <c r="D74" t="s">
        <v>10</v>
      </c>
      <c r="E74">
        <v>3.14</v>
      </c>
      <c r="F74">
        <v>2</v>
      </c>
      <c r="G74">
        <v>26.86</v>
      </c>
      <c r="H74">
        <f t="shared" si="6"/>
        <v>2</v>
      </c>
      <c r="I74">
        <f t="shared" si="7"/>
        <v>1</v>
      </c>
      <c r="J74">
        <f t="shared" si="5"/>
        <v>2</v>
      </c>
      <c r="K74">
        <f t="shared" si="8"/>
        <v>1</v>
      </c>
    </row>
    <row r="75" spans="1:11">
      <c r="A75" t="s">
        <v>7</v>
      </c>
      <c r="B75" t="s">
        <v>22</v>
      </c>
      <c r="C75" t="s">
        <v>21</v>
      </c>
      <c r="D75" t="s">
        <v>10</v>
      </c>
      <c r="E75">
        <v>5</v>
      </c>
      <c r="F75">
        <v>2</v>
      </c>
      <c r="G75">
        <v>25.28</v>
      </c>
      <c r="H75">
        <f t="shared" si="6"/>
        <v>2</v>
      </c>
      <c r="I75">
        <f t="shared" si="7"/>
        <v>1</v>
      </c>
      <c r="J75">
        <f t="shared" si="5"/>
        <v>2</v>
      </c>
      <c r="K75">
        <f t="shared" si="8"/>
        <v>1</v>
      </c>
    </row>
    <row r="76" spans="1:11">
      <c r="A76" t="s">
        <v>7</v>
      </c>
      <c r="B76" t="s">
        <v>8</v>
      </c>
      <c r="C76" t="s">
        <v>21</v>
      </c>
      <c r="D76" t="s">
        <v>10</v>
      </c>
      <c r="E76">
        <v>2.2000000000000002</v>
      </c>
      <c r="F76">
        <v>2</v>
      </c>
      <c r="G76">
        <v>14.73</v>
      </c>
      <c r="H76">
        <f t="shared" si="6"/>
        <v>2</v>
      </c>
      <c r="I76">
        <f t="shared" si="7"/>
        <v>2</v>
      </c>
      <c r="J76">
        <f t="shared" si="5"/>
        <v>2</v>
      </c>
      <c r="K76">
        <f t="shared" si="8"/>
        <v>1</v>
      </c>
    </row>
    <row r="77" spans="1:11">
      <c r="A77" t="s">
        <v>11</v>
      </c>
      <c r="B77" t="s">
        <v>8</v>
      </c>
      <c r="C77" t="s">
        <v>21</v>
      </c>
      <c r="D77" t="s">
        <v>10</v>
      </c>
      <c r="E77">
        <v>1.25</v>
      </c>
      <c r="F77">
        <v>2</v>
      </c>
      <c r="G77">
        <v>10.51</v>
      </c>
      <c r="H77">
        <f t="shared" si="6"/>
        <v>1</v>
      </c>
      <c r="I77">
        <f t="shared" si="7"/>
        <v>2</v>
      </c>
      <c r="J77">
        <f t="shared" si="5"/>
        <v>2</v>
      </c>
      <c r="K77">
        <f t="shared" si="8"/>
        <v>1</v>
      </c>
    </row>
    <row r="78" spans="1:11">
      <c r="A78" t="s">
        <v>11</v>
      </c>
      <c r="B78" t="s">
        <v>22</v>
      </c>
      <c r="C78" t="s">
        <v>21</v>
      </c>
      <c r="D78" t="s">
        <v>10</v>
      </c>
      <c r="E78">
        <v>3.08</v>
      </c>
      <c r="F78">
        <v>2</v>
      </c>
      <c r="G78">
        <v>17.920000000000002</v>
      </c>
      <c r="H78">
        <f t="shared" si="6"/>
        <v>1</v>
      </c>
      <c r="I78">
        <f t="shared" si="7"/>
        <v>1</v>
      </c>
      <c r="J78">
        <f t="shared" si="5"/>
        <v>2</v>
      </c>
      <c r="K78">
        <f t="shared" si="8"/>
        <v>1</v>
      </c>
    </row>
    <row r="79" spans="1:11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4</v>
      </c>
      <c r="G79">
        <v>27.2</v>
      </c>
      <c r="H79">
        <f t="shared" si="6"/>
        <v>1</v>
      </c>
      <c r="I79">
        <f t="shared" si="7"/>
        <v>2</v>
      </c>
      <c r="J79">
        <f t="shared" si="5"/>
        <v>3</v>
      </c>
      <c r="K79">
        <f t="shared" si="8"/>
        <v>2</v>
      </c>
    </row>
    <row r="80" spans="1:11">
      <c r="A80" t="s">
        <v>11</v>
      </c>
      <c r="B80" t="s">
        <v>8</v>
      </c>
      <c r="C80" t="s">
        <v>23</v>
      </c>
      <c r="D80" t="s">
        <v>24</v>
      </c>
      <c r="E80">
        <v>3</v>
      </c>
      <c r="F80">
        <v>2</v>
      </c>
      <c r="G80">
        <v>22.76</v>
      </c>
      <c r="H80">
        <f t="shared" si="6"/>
        <v>1</v>
      </c>
      <c r="I80">
        <f t="shared" si="7"/>
        <v>2</v>
      </c>
      <c r="J80">
        <f t="shared" si="5"/>
        <v>3</v>
      </c>
      <c r="K80">
        <f t="shared" si="8"/>
        <v>2</v>
      </c>
    </row>
    <row r="81" spans="1:11">
      <c r="A81" t="s">
        <v>11</v>
      </c>
      <c r="B81" t="s">
        <v>8</v>
      </c>
      <c r="C81" t="s">
        <v>23</v>
      </c>
      <c r="D81" t="s">
        <v>24</v>
      </c>
      <c r="E81">
        <v>2.71</v>
      </c>
      <c r="F81">
        <v>2</v>
      </c>
      <c r="G81">
        <v>17.29</v>
      </c>
      <c r="H81">
        <f t="shared" si="6"/>
        <v>1</v>
      </c>
      <c r="I81">
        <f t="shared" si="7"/>
        <v>2</v>
      </c>
      <c r="J81">
        <f t="shared" si="5"/>
        <v>3</v>
      </c>
      <c r="K81">
        <f t="shared" si="8"/>
        <v>2</v>
      </c>
    </row>
    <row r="82" spans="1:11">
      <c r="A82" t="s">
        <v>11</v>
      </c>
      <c r="B82" t="s">
        <v>22</v>
      </c>
      <c r="C82" t="s">
        <v>23</v>
      </c>
      <c r="D82" t="s">
        <v>24</v>
      </c>
      <c r="E82">
        <v>3</v>
      </c>
      <c r="F82">
        <v>2</v>
      </c>
      <c r="G82">
        <v>19.440000000000001</v>
      </c>
      <c r="H82">
        <f t="shared" si="6"/>
        <v>1</v>
      </c>
      <c r="I82">
        <f t="shared" si="7"/>
        <v>1</v>
      </c>
      <c r="J82">
        <f t="shared" si="5"/>
        <v>3</v>
      </c>
      <c r="K82">
        <f t="shared" si="8"/>
        <v>2</v>
      </c>
    </row>
    <row r="83" spans="1:11">
      <c r="A83" t="s">
        <v>11</v>
      </c>
      <c r="B83" t="s">
        <v>8</v>
      </c>
      <c r="C83" t="s">
        <v>23</v>
      </c>
      <c r="D83" t="s">
        <v>24</v>
      </c>
      <c r="E83">
        <v>3.4</v>
      </c>
      <c r="F83">
        <v>2</v>
      </c>
      <c r="G83">
        <v>16.66</v>
      </c>
      <c r="H83">
        <f t="shared" si="6"/>
        <v>1</v>
      </c>
      <c r="I83">
        <f t="shared" si="7"/>
        <v>2</v>
      </c>
      <c r="J83">
        <f t="shared" si="5"/>
        <v>3</v>
      </c>
      <c r="K83">
        <f t="shared" si="8"/>
        <v>2</v>
      </c>
    </row>
    <row r="84" spans="1:11">
      <c r="A84" t="s">
        <v>7</v>
      </c>
      <c r="B84" t="s">
        <v>8</v>
      </c>
      <c r="C84" t="s">
        <v>23</v>
      </c>
      <c r="D84" t="s">
        <v>24</v>
      </c>
      <c r="E84">
        <v>1.83</v>
      </c>
      <c r="F84">
        <v>1</v>
      </c>
      <c r="G84">
        <v>10.07</v>
      </c>
      <c r="H84">
        <f t="shared" si="6"/>
        <v>2</v>
      </c>
      <c r="I84">
        <f t="shared" si="7"/>
        <v>2</v>
      </c>
      <c r="J84">
        <f t="shared" si="5"/>
        <v>3</v>
      </c>
      <c r="K84">
        <f t="shared" si="8"/>
        <v>2</v>
      </c>
    </row>
    <row r="85" spans="1:11">
      <c r="A85" t="s">
        <v>11</v>
      </c>
      <c r="B85" t="s">
        <v>22</v>
      </c>
      <c r="C85" t="s">
        <v>23</v>
      </c>
      <c r="D85" t="s">
        <v>24</v>
      </c>
      <c r="E85">
        <v>5</v>
      </c>
      <c r="F85">
        <v>2</v>
      </c>
      <c r="G85">
        <v>32.68</v>
      </c>
      <c r="H85">
        <f t="shared" si="6"/>
        <v>1</v>
      </c>
      <c r="I85">
        <f t="shared" si="7"/>
        <v>1</v>
      </c>
      <c r="J85">
        <f t="shared" si="5"/>
        <v>3</v>
      </c>
      <c r="K85">
        <f t="shared" si="8"/>
        <v>2</v>
      </c>
    </row>
    <row r="86" spans="1:11">
      <c r="A86" t="s">
        <v>11</v>
      </c>
      <c r="B86" t="s">
        <v>8</v>
      </c>
      <c r="C86" t="s">
        <v>23</v>
      </c>
      <c r="D86" t="s">
        <v>24</v>
      </c>
      <c r="E86">
        <v>2.0299999999999998</v>
      </c>
      <c r="F86">
        <v>2</v>
      </c>
      <c r="G86">
        <v>15.98</v>
      </c>
      <c r="H86">
        <f t="shared" si="6"/>
        <v>1</v>
      </c>
      <c r="I86">
        <f t="shared" si="7"/>
        <v>2</v>
      </c>
      <c r="J86">
        <f t="shared" si="5"/>
        <v>3</v>
      </c>
      <c r="K86">
        <f t="shared" si="8"/>
        <v>2</v>
      </c>
    </row>
    <row r="87" spans="1:11">
      <c r="A87" t="s">
        <v>7</v>
      </c>
      <c r="B87" t="s">
        <v>8</v>
      </c>
      <c r="C87" t="s">
        <v>23</v>
      </c>
      <c r="D87" t="s">
        <v>24</v>
      </c>
      <c r="E87">
        <v>5.17</v>
      </c>
      <c r="F87">
        <v>4</v>
      </c>
      <c r="G87">
        <v>34.83</v>
      </c>
      <c r="H87">
        <f t="shared" si="6"/>
        <v>2</v>
      </c>
      <c r="I87">
        <f t="shared" si="7"/>
        <v>2</v>
      </c>
      <c r="J87">
        <f t="shared" si="5"/>
        <v>3</v>
      </c>
      <c r="K87">
        <f t="shared" si="8"/>
        <v>2</v>
      </c>
    </row>
    <row r="88" spans="1:11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2</v>
      </c>
      <c r="G88">
        <v>13.03</v>
      </c>
      <c r="H88">
        <f t="shared" si="6"/>
        <v>1</v>
      </c>
      <c r="I88">
        <f t="shared" si="7"/>
        <v>2</v>
      </c>
      <c r="J88">
        <f t="shared" si="5"/>
        <v>3</v>
      </c>
      <c r="K88">
        <f t="shared" si="8"/>
        <v>2</v>
      </c>
    </row>
    <row r="89" spans="1:11">
      <c r="A89" t="s">
        <v>11</v>
      </c>
      <c r="B89" t="s">
        <v>8</v>
      </c>
      <c r="C89" t="s">
        <v>23</v>
      </c>
      <c r="D89" t="s">
        <v>24</v>
      </c>
      <c r="E89">
        <v>4</v>
      </c>
      <c r="F89">
        <v>2</v>
      </c>
      <c r="G89">
        <v>18.28</v>
      </c>
      <c r="H89">
        <f t="shared" si="6"/>
        <v>1</v>
      </c>
      <c r="I89">
        <f t="shared" si="7"/>
        <v>2</v>
      </c>
      <c r="J89">
        <f t="shared" si="5"/>
        <v>3</v>
      </c>
      <c r="K89">
        <f t="shared" si="8"/>
        <v>2</v>
      </c>
    </row>
    <row r="90" spans="1:11">
      <c r="A90" t="s">
        <v>11</v>
      </c>
      <c r="B90" t="s">
        <v>8</v>
      </c>
      <c r="C90" t="s">
        <v>23</v>
      </c>
      <c r="D90" t="s">
        <v>24</v>
      </c>
      <c r="E90">
        <v>5.85</v>
      </c>
      <c r="F90">
        <v>2</v>
      </c>
      <c r="G90">
        <v>24.71</v>
      </c>
      <c r="H90">
        <f t="shared" si="6"/>
        <v>1</v>
      </c>
      <c r="I90">
        <f t="shared" si="7"/>
        <v>2</v>
      </c>
      <c r="J90">
        <f t="shared" si="5"/>
        <v>3</v>
      </c>
      <c r="K90">
        <f t="shared" si="8"/>
        <v>2</v>
      </c>
    </row>
    <row r="91" spans="1:11">
      <c r="A91" t="s">
        <v>11</v>
      </c>
      <c r="B91" t="s">
        <v>8</v>
      </c>
      <c r="C91" t="s">
        <v>23</v>
      </c>
      <c r="D91" t="s">
        <v>24</v>
      </c>
      <c r="E91">
        <v>3</v>
      </c>
      <c r="F91">
        <v>2</v>
      </c>
      <c r="G91">
        <v>21.16</v>
      </c>
      <c r="H91">
        <f t="shared" si="6"/>
        <v>1</v>
      </c>
      <c r="I91">
        <f t="shared" si="7"/>
        <v>2</v>
      </c>
      <c r="J91">
        <f t="shared" si="5"/>
        <v>3</v>
      </c>
      <c r="K91">
        <f t="shared" si="8"/>
        <v>2</v>
      </c>
    </row>
    <row r="92" spans="1:11">
      <c r="A92" t="s">
        <v>11</v>
      </c>
      <c r="B92" t="s">
        <v>22</v>
      </c>
      <c r="C92" t="s">
        <v>25</v>
      </c>
      <c r="D92" t="s">
        <v>10</v>
      </c>
      <c r="E92">
        <v>3</v>
      </c>
      <c r="F92">
        <v>2</v>
      </c>
      <c r="G92">
        <v>28.97</v>
      </c>
      <c r="H92">
        <f t="shared" si="6"/>
        <v>1</v>
      </c>
      <c r="I92">
        <f t="shared" si="7"/>
        <v>1</v>
      </c>
      <c r="J92">
        <f t="shared" si="5"/>
        <v>4</v>
      </c>
      <c r="K92">
        <f t="shared" si="8"/>
        <v>1</v>
      </c>
    </row>
    <row r="93" spans="1:11">
      <c r="A93" t="s">
        <v>11</v>
      </c>
      <c r="B93" t="s">
        <v>8</v>
      </c>
      <c r="C93" t="s">
        <v>25</v>
      </c>
      <c r="D93" t="s">
        <v>10</v>
      </c>
      <c r="E93">
        <v>3.5</v>
      </c>
      <c r="F93">
        <v>2</v>
      </c>
      <c r="G93">
        <v>22.49</v>
      </c>
      <c r="H93">
        <f t="shared" si="6"/>
        <v>1</v>
      </c>
      <c r="I93">
        <f t="shared" si="7"/>
        <v>2</v>
      </c>
      <c r="J93">
        <f t="shared" si="5"/>
        <v>4</v>
      </c>
      <c r="K93">
        <f t="shared" si="8"/>
        <v>1</v>
      </c>
    </row>
    <row r="94" spans="1:11">
      <c r="A94" t="s">
        <v>7</v>
      </c>
      <c r="B94" t="s">
        <v>22</v>
      </c>
      <c r="C94" t="s">
        <v>25</v>
      </c>
      <c r="D94" t="s">
        <v>10</v>
      </c>
      <c r="E94">
        <v>1</v>
      </c>
      <c r="F94">
        <v>2</v>
      </c>
      <c r="G94">
        <v>5.75</v>
      </c>
      <c r="H94">
        <f t="shared" si="6"/>
        <v>2</v>
      </c>
      <c r="I94">
        <f t="shared" si="7"/>
        <v>1</v>
      </c>
      <c r="J94">
        <f t="shared" si="5"/>
        <v>4</v>
      </c>
      <c r="K94">
        <f t="shared" si="8"/>
        <v>1</v>
      </c>
    </row>
    <row r="95" spans="1:11">
      <c r="A95" t="s">
        <v>7</v>
      </c>
      <c r="B95" t="s">
        <v>22</v>
      </c>
      <c r="C95" t="s">
        <v>25</v>
      </c>
      <c r="D95" t="s">
        <v>10</v>
      </c>
      <c r="E95">
        <v>4.3</v>
      </c>
      <c r="F95">
        <v>2</v>
      </c>
      <c r="G95">
        <v>16.32</v>
      </c>
      <c r="H95">
        <f t="shared" si="6"/>
        <v>2</v>
      </c>
      <c r="I95">
        <f t="shared" si="7"/>
        <v>1</v>
      </c>
      <c r="J95">
        <f t="shared" si="5"/>
        <v>4</v>
      </c>
      <c r="K95">
        <f t="shared" si="8"/>
        <v>1</v>
      </c>
    </row>
    <row r="96" spans="1:11">
      <c r="A96" t="s">
        <v>7</v>
      </c>
      <c r="B96" t="s">
        <v>8</v>
      </c>
      <c r="C96" t="s">
        <v>25</v>
      </c>
      <c r="D96" t="s">
        <v>10</v>
      </c>
      <c r="E96">
        <v>3.25</v>
      </c>
      <c r="F96">
        <v>2</v>
      </c>
      <c r="G96">
        <v>22.75</v>
      </c>
      <c r="H96">
        <f t="shared" si="6"/>
        <v>2</v>
      </c>
      <c r="I96">
        <f t="shared" si="7"/>
        <v>2</v>
      </c>
      <c r="J96">
        <f t="shared" si="5"/>
        <v>4</v>
      </c>
      <c r="K96">
        <f t="shared" si="8"/>
        <v>1</v>
      </c>
    </row>
    <row r="97" spans="1:11">
      <c r="A97" t="s">
        <v>11</v>
      </c>
      <c r="B97" t="s">
        <v>22</v>
      </c>
      <c r="C97" t="s">
        <v>25</v>
      </c>
      <c r="D97" t="s">
        <v>10</v>
      </c>
      <c r="E97">
        <v>4.7300000000000004</v>
      </c>
      <c r="F97">
        <v>4</v>
      </c>
      <c r="G97">
        <v>40.17</v>
      </c>
      <c r="H97">
        <f t="shared" si="6"/>
        <v>1</v>
      </c>
      <c r="I97">
        <f t="shared" si="7"/>
        <v>1</v>
      </c>
      <c r="J97">
        <f t="shared" si="5"/>
        <v>4</v>
      </c>
      <c r="K97">
        <f t="shared" si="8"/>
        <v>1</v>
      </c>
    </row>
    <row r="98" spans="1:11">
      <c r="A98" t="s">
        <v>11</v>
      </c>
      <c r="B98" t="s">
        <v>22</v>
      </c>
      <c r="C98" t="s">
        <v>25</v>
      </c>
      <c r="D98" t="s">
        <v>10</v>
      </c>
      <c r="E98">
        <v>4</v>
      </c>
      <c r="F98">
        <v>2</v>
      </c>
      <c r="G98">
        <v>27.28</v>
      </c>
      <c r="H98">
        <f t="shared" si="6"/>
        <v>1</v>
      </c>
      <c r="I98">
        <f t="shared" si="7"/>
        <v>1</v>
      </c>
      <c r="J98">
        <f t="shared" si="5"/>
        <v>4</v>
      </c>
      <c r="K98">
        <f t="shared" si="8"/>
        <v>1</v>
      </c>
    </row>
    <row r="99" spans="1:11">
      <c r="A99" t="s">
        <v>11</v>
      </c>
      <c r="B99" t="s">
        <v>22</v>
      </c>
      <c r="C99" t="s">
        <v>25</v>
      </c>
      <c r="D99" t="s">
        <v>10</v>
      </c>
      <c r="E99">
        <v>1.5</v>
      </c>
      <c r="F99">
        <v>2</v>
      </c>
      <c r="G99">
        <v>12.03</v>
      </c>
      <c r="H99">
        <f t="shared" si="6"/>
        <v>1</v>
      </c>
      <c r="I99">
        <f t="shared" si="7"/>
        <v>1</v>
      </c>
      <c r="J99">
        <f t="shared" si="5"/>
        <v>4</v>
      </c>
      <c r="K99">
        <f t="shared" si="8"/>
        <v>1</v>
      </c>
    </row>
    <row r="100" spans="1:11">
      <c r="A100" t="s">
        <v>11</v>
      </c>
      <c r="B100" t="s">
        <v>22</v>
      </c>
      <c r="C100" t="s">
        <v>25</v>
      </c>
      <c r="D100" t="s">
        <v>10</v>
      </c>
      <c r="E100">
        <v>3</v>
      </c>
      <c r="F100">
        <v>2</v>
      </c>
      <c r="G100">
        <v>21.01</v>
      </c>
      <c r="H100">
        <f t="shared" si="6"/>
        <v>1</v>
      </c>
      <c r="I100">
        <f t="shared" si="7"/>
        <v>1</v>
      </c>
      <c r="J100">
        <f t="shared" si="5"/>
        <v>4</v>
      </c>
      <c r="K100">
        <f t="shared" si="8"/>
        <v>1</v>
      </c>
    </row>
    <row r="101" spans="1:11">
      <c r="A101" t="s">
        <v>11</v>
      </c>
      <c r="B101" t="s">
        <v>8</v>
      </c>
      <c r="C101" t="s">
        <v>25</v>
      </c>
      <c r="D101" t="s">
        <v>10</v>
      </c>
      <c r="E101">
        <v>1.5</v>
      </c>
      <c r="F101">
        <v>2</v>
      </c>
      <c r="G101">
        <v>12.46</v>
      </c>
      <c r="H101">
        <f t="shared" si="6"/>
        <v>1</v>
      </c>
      <c r="I101">
        <f t="shared" si="7"/>
        <v>2</v>
      </c>
      <c r="J101">
        <f t="shared" si="5"/>
        <v>4</v>
      </c>
      <c r="K101">
        <f t="shared" si="8"/>
        <v>1</v>
      </c>
    </row>
    <row r="102" spans="1:11">
      <c r="A102" t="s">
        <v>7</v>
      </c>
      <c r="B102" t="s">
        <v>22</v>
      </c>
      <c r="C102" t="s">
        <v>25</v>
      </c>
      <c r="D102" t="s">
        <v>10</v>
      </c>
      <c r="E102">
        <v>2.5</v>
      </c>
      <c r="F102">
        <v>2</v>
      </c>
      <c r="G102">
        <v>11.35</v>
      </c>
      <c r="H102">
        <f t="shared" si="6"/>
        <v>2</v>
      </c>
      <c r="I102">
        <f t="shared" si="7"/>
        <v>1</v>
      </c>
      <c r="J102">
        <f t="shared" si="5"/>
        <v>4</v>
      </c>
      <c r="K102">
        <f t="shared" si="8"/>
        <v>1</v>
      </c>
    </row>
    <row r="103" spans="1:11">
      <c r="A103" t="s">
        <v>7</v>
      </c>
      <c r="B103" t="s">
        <v>22</v>
      </c>
      <c r="C103" t="s">
        <v>25</v>
      </c>
      <c r="D103" t="s">
        <v>10</v>
      </c>
      <c r="E103">
        <v>3</v>
      </c>
      <c r="F103">
        <v>2</v>
      </c>
      <c r="G103">
        <v>15.38</v>
      </c>
      <c r="H103">
        <f t="shared" si="6"/>
        <v>2</v>
      </c>
      <c r="I103">
        <f t="shared" si="7"/>
        <v>1</v>
      </c>
      <c r="J103">
        <f t="shared" si="5"/>
        <v>4</v>
      </c>
      <c r="K103">
        <f t="shared" si="8"/>
        <v>1</v>
      </c>
    </row>
    <row r="104" spans="1:11">
      <c r="A104" t="s">
        <v>7</v>
      </c>
      <c r="B104" t="s">
        <v>22</v>
      </c>
      <c r="C104" t="s">
        <v>21</v>
      </c>
      <c r="D104" t="s">
        <v>10</v>
      </c>
      <c r="E104">
        <v>2.5</v>
      </c>
      <c r="F104">
        <v>3</v>
      </c>
      <c r="G104">
        <v>44.3</v>
      </c>
      <c r="H104">
        <f t="shared" si="6"/>
        <v>2</v>
      </c>
      <c r="I104">
        <f t="shared" si="7"/>
        <v>1</v>
      </c>
      <c r="J104">
        <f t="shared" si="5"/>
        <v>2</v>
      </c>
      <c r="K104">
        <f t="shared" si="8"/>
        <v>1</v>
      </c>
    </row>
    <row r="105" spans="1:11">
      <c r="A105" t="s">
        <v>7</v>
      </c>
      <c r="B105" t="s">
        <v>22</v>
      </c>
      <c r="C105" t="s">
        <v>21</v>
      </c>
      <c r="D105" t="s">
        <v>10</v>
      </c>
      <c r="E105">
        <v>3.48</v>
      </c>
      <c r="F105">
        <v>2</v>
      </c>
      <c r="G105">
        <v>22.42</v>
      </c>
      <c r="H105">
        <f t="shared" si="6"/>
        <v>2</v>
      </c>
      <c r="I105">
        <f t="shared" si="7"/>
        <v>1</v>
      </c>
      <c r="J105">
        <f t="shared" si="5"/>
        <v>2</v>
      </c>
      <c r="K105">
        <f t="shared" si="8"/>
        <v>1</v>
      </c>
    </row>
    <row r="106" spans="1:11">
      <c r="A106" t="s">
        <v>7</v>
      </c>
      <c r="B106" t="s">
        <v>8</v>
      </c>
      <c r="C106" t="s">
        <v>21</v>
      </c>
      <c r="D106" t="s">
        <v>10</v>
      </c>
      <c r="E106">
        <v>4.08</v>
      </c>
      <c r="F106">
        <v>2</v>
      </c>
      <c r="G106">
        <v>20.92</v>
      </c>
      <c r="H106">
        <f t="shared" si="6"/>
        <v>2</v>
      </c>
      <c r="I106">
        <f t="shared" si="7"/>
        <v>2</v>
      </c>
      <c r="J106">
        <f t="shared" si="5"/>
        <v>2</v>
      </c>
      <c r="K106">
        <f t="shared" si="8"/>
        <v>1</v>
      </c>
    </row>
    <row r="107" spans="1:11">
      <c r="A107" t="s">
        <v>11</v>
      </c>
      <c r="B107" t="s">
        <v>22</v>
      </c>
      <c r="C107" t="s">
        <v>21</v>
      </c>
      <c r="D107" t="s">
        <v>10</v>
      </c>
      <c r="E107">
        <v>1.64</v>
      </c>
      <c r="F107">
        <v>2</v>
      </c>
      <c r="G107">
        <v>15.36</v>
      </c>
      <c r="H107">
        <f t="shared" si="6"/>
        <v>1</v>
      </c>
      <c r="I107">
        <f t="shared" si="7"/>
        <v>1</v>
      </c>
      <c r="J107">
        <f t="shared" si="5"/>
        <v>2</v>
      </c>
      <c r="K107">
        <f t="shared" si="8"/>
        <v>1</v>
      </c>
    </row>
    <row r="108" spans="1:11">
      <c r="A108" t="s">
        <v>11</v>
      </c>
      <c r="B108" t="s">
        <v>22</v>
      </c>
      <c r="C108" t="s">
        <v>21</v>
      </c>
      <c r="D108" t="s">
        <v>10</v>
      </c>
      <c r="E108">
        <v>4.0599999999999996</v>
      </c>
      <c r="F108">
        <v>2</v>
      </c>
      <c r="G108">
        <v>20.49</v>
      </c>
      <c r="H108">
        <f t="shared" si="6"/>
        <v>1</v>
      </c>
      <c r="I108">
        <f t="shared" si="7"/>
        <v>1</v>
      </c>
      <c r="J108">
        <f t="shared" si="5"/>
        <v>2</v>
      </c>
      <c r="K108">
        <f t="shared" si="8"/>
        <v>1</v>
      </c>
    </row>
    <row r="109" spans="1:11">
      <c r="A109" t="s">
        <v>11</v>
      </c>
      <c r="B109" t="s">
        <v>22</v>
      </c>
      <c r="C109" t="s">
        <v>21</v>
      </c>
      <c r="D109" t="s">
        <v>10</v>
      </c>
      <c r="E109">
        <v>4.29</v>
      </c>
      <c r="F109">
        <v>2</v>
      </c>
      <c r="G109">
        <v>25.21</v>
      </c>
      <c r="H109">
        <f t="shared" si="6"/>
        <v>1</v>
      </c>
      <c r="I109">
        <f t="shared" si="7"/>
        <v>1</v>
      </c>
      <c r="J109">
        <f t="shared" si="5"/>
        <v>2</v>
      </c>
      <c r="K109">
        <f t="shared" si="8"/>
        <v>1</v>
      </c>
    </row>
    <row r="110" spans="1:11">
      <c r="A110" t="s">
        <v>11</v>
      </c>
      <c r="B110" t="s">
        <v>8</v>
      </c>
      <c r="C110" t="s">
        <v>21</v>
      </c>
      <c r="D110" t="s">
        <v>10</v>
      </c>
      <c r="E110">
        <v>3.76</v>
      </c>
      <c r="F110">
        <v>2</v>
      </c>
      <c r="G110">
        <v>18.239999999999998</v>
      </c>
      <c r="H110">
        <f t="shared" si="6"/>
        <v>1</v>
      </c>
      <c r="I110">
        <f t="shared" si="7"/>
        <v>2</v>
      </c>
      <c r="J110">
        <f t="shared" si="5"/>
        <v>2</v>
      </c>
      <c r="K110">
        <f t="shared" si="8"/>
        <v>1</v>
      </c>
    </row>
    <row r="111" spans="1:11">
      <c r="A111" t="s">
        <v>7</v>
      </c>
      <c r="B111" t="s">
        <v>22</v>
      </c>
      <c r="C111" t="s">
        <v>21</v>
      </c>
      <c r="D111" t="s">
        <v>10</v>
      </c>
      <c r="E111">
        <v>4</v>
      </c>
      <c r="F111">
        <v>2</v>
      </c>
      <c r="G111">
        <v>14.31</v>
      </c>
      <c r="H111">
        <f t="shared" si="6"/>
        <v>2</v>
      </c>
      <c r="I111">
        <f t="shared" si="7"/>
        <v>1</v>
      </c>
      <c r="J111">
        <f t="shared" si="5"/>
        <v>2</v>
      </c>
      <c r="K111">
        <f t="shared" si="8"/>
        <v>1</v>
      </c>
    </row>
    <row r="112" spans="1:11">
      <c r="A112" t="s">
        <v>11</v>
      </c>
      <c r="B112" t="s">
        <v>8</v>
      </c>
      <c r="C112" t="s">
        <v>21</v>
      </c>
      <c r="D112" t="s">
        <v>10</v>
      </c>
      <c r="E112">
        <v>3</v>
      </c>
      <c r="F112">
        <v>2</v>
      </c>
      <c r="G112">
        <v>14</v>
      </c>
      <c r="H112">
        <f t="shared" si="6"/>
        <v>1</v>
      </c>
      <c r="I112">
        <f t="shared" si="7"/>
        <v>2</v>
      </c>
      <c r="J112">
        <f t="shared" si="5"/>
        <v>2</v>
      </c>
      <c r="K112">
        <f t="shared" si="8"/>
        <v>1</v>
      </c>
    </row>
    <row r="113" spans="1:11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1</v>
      </c>
      <c r="G113">
        <v>7.25</v>
      </c>
      <c r="H113">
        <f t="shared" si="6"/>
        <v>2</v>
      </c>
      <c r="I113">
        <f t="shared" si="7"/>
        <v>2</v>
      </c>
      <c r="J113">
        <f t="shared" si="5"/>
        <v>2</v>
      </c>
      <c r="K113">
        <f t="shared" si="8"/>
        <v>1</v>
      </c>
    </row>
    <row r="114" spans="1:11">
      <c r="A114" t="s">
        <v>11</v>
      </c>
      <c r="B114" t="s">
        <v>8</v>
      </c>
      <c r="C114" t="s">
        <v>9</v>
      </c>
      <c r="D114" t="s">
        <v>10</v>
      </c>
      <c r="E114">
        <v>4</v>
      </c>
      <c r="F114">
        <v>3</v>
      </c>
      <c r="G114">
        <v>38.07</v>
      </c>
      <c r="H114">
        <f t="shared" si="6"/>
        <v>1</v>
      </c>
      <c r="I114">
        <f t="shared" si="7"/>
        <v>2</v>
      </c>
      <c r="J114">
        <f t="shared" si="5"/>
        <v>1</v>
      </c>
      <c r="K114">
        <f t="shared" si="8"/>
        <v>1</v>
      </c>
    </row>
    <row r="115" spans="1:11">
      <c r="A115" t="s">
        <v>11</v>
      </c>
      <c r="B115" t="s">
        <v>8</v>
      </c>
      <c r="C115" t="s">
        <v>9</v>
      </c>
      <c r="D115" t="s">
        <v>10</v>
      </c>
      <c r="E115">
        <v>2.5499999999999998</v>
      </c>
      <c r="F115">
        <v>2</v>
      </c>
      <c r="G115">
        <v>23.95</v>
      </c>
      <c r="H115">
        <f t="shared" si="6"/>
        <v>1</v>
      </c>
      <c r="I115">
        <f t="shared" si="7"/>
        <v>2</v>
      </c>
      <c r="J115">
        <f t="shared" si="5"/>
        <v>1</v>
      </c>
      <c r="K115">
        <f t="shared" si="8"/>
        <v>1</v>
      </c>
    </row>
    <row r="116" spans="1:11">
      <c r="A116" t="s">
        <v>7</v>
      </c>
      <c r="B116" t="s">
        <v>8</v>
      </c>
      <c r="C116" t="s">
        <v>9</v>
      </c>
      <c r="D116" t="s">
        <v>10</v>
      </c>
      <c r="E116">
        <v>4</v>
      </c>
      <c r="F116">
        <v>3</v>
      </c>
      <c r="G116">
        <v>25.71</v>
      </c>
      <c r="H116">
        <f t="shared" si="6"/>
        <v>2</v>
      </c>
      <c r="I116">
        <f t="shared" si="7"/>
        <v>2</v>
      </c>
      <c r="J116">
        <f t="shared" si="5"/>
        <v>1</v>
      </c>
      <c r="K116">
        <f t="shared" si="8"/>
        <v>1</v>
      </c>
    </row>
    <row r="117" spans="1:11">
      <c r="A117" t="s">
        <v>7</v>
      </c>
      <c r="B117" t="s">
        <v>8</v>
      </c>
      <c r="C117" t="s">
        <v>9</v>
      </c>
      <c r="D117" t="s">
        <v>10</v>
      </c>
      <c r="E117">
        <v>3.5</v>
      </c>
      <c r="F117">
        <v>2</v>
      </c>
      <c r="G117">
        <v>17.309999999999999</v>
      </c>
      <c r="H117">
        <f t="shared" si="6"/>
        <v>2</v>
      </c>
      <c r="I117">
        <f t="shared" si="7"/>
        <v>2</v>
      </c>
      <c r="J117">
        <f t="shared" si="5"/>
        <v>1</v>
      </c>
      <c r="K117">
        <f t="shared" si="8"/>
        <v>1</v>
      </c>
    </row>
    <row r="118" spans="1:11">
      <c r="A118" t="s">
        <v>11</v>
      </c>
      <c r="B118" t="s">
        <v>8</v>
      </c>
      <c r="C118" t="s">
        <v>9</v>
      </c>
      <c r="D118" t="s">
        <v>10</v>
      </c>
      <c r="E118">
        <v>5.07</v>
      </c>
      <c r="F118">
        <v>4</v>
      </c>
      <c r="G118">
        <v>29.93</v>
      </c>
      <c r="H118">
        <f t="shared" si="6"/>
        <v>1</v>
      </c>
      <c r="I118">
        <f t="shared" si="7"/>
        <v>2</v>
      </c>
      <c r="J118">
        <f t="shared" si="5"/>
        <v>1</v>
      </c>
      <c r="K118">
        <f t="shared" si="8"/>
        <v>1</v>
      </c>
    </row>
    <row r="119" spans="1:11">
      <c r="A119" t="s">
        <v>7</v>
      </c>
      <c r="B119" t="s">
        <v>8</v>
      </c>
      <c r="C119" t="s">
        <v>23</v>
      </c>
      <c r="D119" t="s">
        <v>24</v>
      </c>
      <c r="E119">
        <v>1.5</v>
      </c>
      <c r="F119">
        <v>2</v>
      </c>
      <c r="G119">
        <v>10.65</v>
      </c>
      <c r="H119">
        <f t="shared" si="6"/>
        <v>2</v>
      </c>
      <c r="I119">
        <f t="shared" si="7"/>
        <v>2</v>
      </c>
      <c r="J119">
        <f t="shared" si="5"/>
        <v>3</v>
      </c>
      <c r="K119">
        <f t="shared" si="8"/>
        <v>2</v>
      </c>
    </row>
    <row r="120" spans="1:11">
      <c r="A120" t="s">
        <v>7</v>
      </c>
      <c r="B120" t="s">
        <v>8</v>
      </c>
      <c r="C120" t="s">
        <v>23</v>
      </c>
      <c r="D120" t="s">
        <v>24</v>
      </c>
      <c r="E120">
        <v>1.8</v>
      </c>
      <c r="F120">
        <v>2</v>
      </c>
      <c r="G120">
        <v>12.43</v>
      </c>
      <c r="H120">
        <f t="shared" si="6"/>
        <v>2</v>
      </c>
      <c r="I120">
        <f t="shared" si="7"/>
        <v>2</v>
      </c>
      <c r="J120">
        <f t="shared" si="5"/>
        <v>3</v>
      </c>
      <c r="K120">
        <f t="shared" si="8"/>
        <v>2</v>
      </c>
    </row>
    <row r="121" spans="1:11">
      <c r="A121" t="s">
        <v>7</v>
      </c>
      <c r="B121" t="s">
        <v>8</v>
      </c>
      <c r="C121" t="s">
        <v>23</v>
      </c>
      <c r="D121" t="s">
        <v>24</v>
      </c>
      <c r="E121">
        <v>2.92</v>
      </c>
      <c r="F121">
        <v>4</v>
      </c>
      <c r="G121">
        <v>24.08</v>
      </c>
      <c r="H121">
        <f t="shared" si="6"/>
        <v>2</v>
      </c>
      <c r="I121">
        <f t="shared" si="7"/>
        <v>2</v>
      </c>
      <c r="J121">
        <f t="shared" si="5"/>
        <v>3</v>
      </c>
      <c r="K121">
        <f t="shared" si="8"/>
        <v>2</v>
      </c>
    </row>
    <row r="122" spans="1:11">
      <c r="A122" t="s">
        <v>11</v>
      </c>
      <c r="B122" t="s">
        <v>8</v>
      </c>
      <c r="C122" t="s">
        <v>23</v>
      </c>
      <c r="D122" t="s">
        <v>24</v>
      </c>
      <c r="E122">
        <v>2.31</v>
      </c>
      <c r="F122">
        <v>2</v>
      </c>
      <c r="G122">
        <v>11.69</v>
      </c>
      <c r="H122">
        <f t="shared" si="6"/>
        <v>1</v>
      </c>
      <c r="I122">
        <f t="shared" si="7"/>
        <v>2</v>
      </c>
      <c r="J122">
        <f t="shared" si="5"/>
        <v>3</v>
      </c>
      <c r="K122">
        <f t="shared" si="8"/>
        <v>2</v>
      </c>
    </row>
    <row r="123" spans="1:11">
      <c r="A123" t="s">
        <v>7</v>
      </c>
      <c r="B123" t="s">
        <v>8</v>
      </c>
      <c r="C123" t="s">
        <v>23</v>
      </c>
      <c r="D123" t="s">
        <v>24</v>
      </c>
      <c r="E123">
        <v>1.68</v>
      </c>
      <c r="F123">
        <v>2</v>
      </c>
      <c r="G123">
        <v>13.42</v>
      </c>
      <c r="H123">
        <f t="shared" si="6"/>
        <v>2</v>
      </c>
      <c r="I123">
        <f t="shared" si="7"/>
        <v>2</v>
      </c>
      <c r="J123">
        <f t="shared" si="5"/>
        <v>3</v>
      </c>
      <c r="K123">
        <f t="shared" si="8"/>
        <v>2</v>
      </c>
    </row>
    <row r="124" spans="1:11">
      <c r="A124" t="s">
        <v>11</v>
      </c>
      <c r="B124" t="s">
        <v>8</v>
      </c>
      <c r="C124" t="s">
        <v>23</v>
      </c>
      <c r="D124" t="s">
        <v>24</v>
      </c>
      <c r="E124">
        <v>2.5</v>
      </c>
      <c r="F124">
        <v>2</v>
      </c>
      <c r="G124">
        <v>14.26</v>
      </c>
      <c r="H124">
        <f t="shared" si="6"/>
        <v>1</v>
      </c>
      <c r="I124">
        <f t="shared" si="7"/>
        <v>2</v>
      </c>
      <c r="J124">
        <f t="shared" si="5"/>
        <v>3</v>
      </c>
      <c r="K124">
        <f t="shared" si="8"/>
        <v>2</v>
      </c>
    </row>
    <row r="125" spans="1:11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2</v>
      </c>
      <c r="G125">
        <v>15.95</v>
      </c>
      <c r="H125">
        <f t="shared" si="6"/>
        <v>1</v>
      </c>
      <c r="I125">
        <f t="shared" si="7"/>
        <v>2</v>
      </c>
      <c r="J125">
        <f t="shared" si="5"/>
        <v>3</v>
      </c>
      <c r="K125">
        <f t="shared" si="8"/>
        <v>2</v>
      </c>
    </row>
    <row r="126" spans="1:11">
      <c r="A126" t="s">
        <v>7</v>
      </c>
      <c r="B126" t="s">
        <v>8</v>
      </c>
      <c r="C126" t="s">
        <v>23</v>
      </c>
      <c r="D126" t="s">
        <v>24</v>
      </c>
      <c r="E126">
        <v>2.52</v>
      </c>
      <c r="F126">
        <v>2</v>
      </c>
      <c r="G126">
        <v>12.48</v>
      </c>
      <c r="H126">
        <f t="shared" si="6"/>
        <v>2</v>
      </c>
      <c r="I126">
        <f t="shared" si="7"/>
        <v>2</v>
      </c>
      <c r="J126">
        <f t="shared" si="5"/>
        <v>3</v>
      </c>
      <c r="K126">
        <f t="shared" si="8"/>
        <v>2</v>
      </c>
    </row>
    <row r="127" spans="1:11">
      <c r="A127" t="s">
        <v>7</v>
      </c>
      <c r="B127" t="s">
        <v>8</v>
      </c>
      <c r="C127" t="s">
        <v>23</v>
      </c>
      <c r="D127" t="s">
        <v>24</v>
      </c>
      <c r="E127">
        <v>4.2</v>
      </c>
      <c r="F127">
        <v>6</v>
      </c>
      <c r="G127">
        <v>29.8</v>
      </c>
      <c r="H127">
        <f t="shared" si="6"/>
        <v>2</v>
      </c>
      <c r="I127">
        <f t="shared" si="7"/>
        <v>2</v>
      </c>
      <c r="J127">
        <f t="shared" si="5"/>
        <v>3</v>
      </c>
      <c r="K127">
        <f t="shared" si="8"/>
        <v>2</v>
      </c>
    </row>
    <row r="128" spans="1:11">
      <c r="A128" t="s">
        <v>11</v>
      </c>
      <c r="B128" t="s">
        <v>8</v>
      </c>
      <c r="C128" t="s">
        <v>23</v>
      </c>
      <c r="D128" t="s">
        <v>24</v>
      </c>
      <c r="E128">
        <v>1.48</v>
      </c>
      <c r="F128">
        <v>2</v>
      </c>
      <c r="G128">
        <v>8.52</v>
      </c>
      <c r="H128">
        <f t="shared" si="6"/>
        <v>1</v>
      </c>
      <c r="I128">
        <f t="shared" si="7"/>
        <v>2</v>
      </c>
      <c r="J128">
        <f t="shared" si="5"/>
        <v>3</v>
      </c>
      <c r="K128">
        <f t="shared" si="8"/>
        <v>2</v>
      </c>
    </row>
    <row r="129" spans="1:11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2</v>
      </c>
      <c r="G129">
        <v>14.52</v>
      </c>
      <c r="H129">
        <f t="shared" si="6"/>
        <v>2</v>
      </c>
      <c r="I129">
        <f t="shared" si="7"/>
        <v>2</v>
      </c>
      <c r="J129">
        <f t="shared" si="5"/>
        <v>3</v>
      </c>
      <c r="K129">
        <f t="shared" si="8"/>
        <v>2</v>
      </c>
    </row>
    <row r="130" spans="1:11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2</v>
      </c>
      <c r="G130">
        <v>11.38</v>
      </c>
      <c r="H130">
        <f t="shared" si="6"/>
        <v>2</v>
      </c>
      <c r="I130">
        <f t="shared" si="7"/>
        <v>2</v>
      </c>
      <c r="J130">
        <f t="shared" ref="J130:J193" si="9">IF(C130="Sun", 1, IF(C130="Sat", 2, IF(C130="Thur", 3, IF(C130="Fri", 4, ""))))</f>
        <v>3</v>
      </c>
      <c r="K130">
        <f t="shared" si="8"/>
        <v>2</v>
      </c>
    </row>
    <row r="131" spans="1:11">
      <c r="A131" t="s">
        <v>11</v>
      </c>
      <c r="B131" t="s">
        <v>8</v>
      </c>
      <c r="C131" t="s">
        <v>23</v>
      </c>
      <c r="D131" t="s">
        <v>24</v>
      </c>
      <c r="E131">
        <v>2.1800000000000002</v>
      </c>
      <c r="F131">
        <v>3</v>
      </c>
      <c r="G131">
        <v>22.82</v>
      </c>
      <c r="H131">
        <f t="shared" ref="H131:H194" si="10">IF($A131 = "Male",1,2)</f>
        <v>1</v>
      </c>
      <c r="I131">
        <f t="shared" ref="I131:I194" si="11">IF($B131 = "Yes",1,2)</f>
        <v>2</v>
      </c>
      <c r="J131">
        <f t="shared" si="9"/>
        <v>3</v>
      </c>
      <c r="K131">
        <f t="shared" ref="K131:K194" si="12">IF($D131 = "Dinner",1,2)</f>
        <v>2</v>
      </c>
    </row>
    <row r="132" spans="1:11">
      <c r="A132" t="s">
        <v>11</v>
      </c>
      <c r="B132" t="s">
        <v>8</v>
      </c>
      <c r="C132" t="s">
        <v>23</v>
      </c>
      <c r="D132" t="s">
        <v>24</v>
      </c>
      <c r="E132">
        <v>1.5</v>
      </c>
      <c r="F132">
        <v>2</v>
      </c>
      <c r="G132">
        <v>19.079999999999998</v>
      </c>
      <c r="H132">
        <f t="shared" si="10"/>
        <v>1</v>
      </c>
      <c r="I132">
        <f t="shared" si="11"/>
        <v>2</v>
      </c>
      <c r="J132">
        <f t="shared" si="9"/>
        <v>3</v>
      </c>
      <c r="K132">
        <f t="shared" si="12"/>
        <v>2</v>
      </c>
    </row>
    <row r="133" spans="1:11">
      <c r="A133" t="s">
        <v>7</v>
      </c>
      <c r="B133" t="s">
        <v>8</v>
      </c>
      <c r="C133" t="s">
        <v>23</v>
      </c>
      <c r="D133" t="s">
        <v>24</v>
      </c>
      <c r="E133">
        <v>2.83</v>
      </c>
      <c r="F133">
        <v>2</v>
      </c>
      <c r="G133">
        <v>20.27</v>
      </c>
      <c r="H133">
        <f t="shared" si="10"/>
        <v>2</v>
      </c>
      <c r="I133">
        <f t="shared" si="11"/>
        <v>2</v>
      </c>
      <c r="J133">
        <f t="shared" si="9"/>
        <v>3</v>
      </c>
      <c r="K133">
        <f t="shared" si="12"/>
        <v>2</v>
      </c>
    </row>
    <row r="134" spans="1:11">
      <c r="A134" t="s">
        <v>7</v>
      </c>
      <c r="B134" t="s">
        <v>8</v>
      </c>
      <c r="C134" t="s">
        <v>23</v>
      </c>
      <c r="D134" t="s">
        <v>24</v>
      </c>
      <c r="E134">
        <v>1.5</v>
      </c>
      <c r="F134">
        <v>2</v>
      </c>
      <c r="G134">
        <v>11.17</v>
      </c>
      <c r="H134">
        <f t="shared" si="10"/>
        <v>2</v>
      </c>
      <c r="I134">
        <f t="shared" si="11"/>
        <v>2</v>
      </c>
      <c r="J134">
        <f t="shared" si="9"/>
        <v>3</v>
      </c>
      <c r="K134">
        <f t="shared" si="12"/>
        <v>2</v>
      </c>
    </row>
    <row r="135" spans="1:11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2</v>
      </c>
      <c r="G135">
        <v>12.26</v>
      </c>
      <c r="H135">
        <f t="shared" si="10"/>
        <v>2</v>
      </c>
      <c r="I135">
        <f t="shared" si="11"/>
        <v>2</v>
      </c>
      <c r="J135">
        <f t="shared" si="9"/>
        <v>3</v>
      </c>
      <c r="K135">
        <f t="shared" si="12"/>
        <v>2</v>
      </c>
    </row>
    <row r="136" spans="1:11">
      <c r="A136" t="s">
        <v>7</v>
      </c>
      <c r="B136" t="s">
        <v>8</v>
      </c>
      <c r="C136" t="s">
        <v>23</v>
      </c>
      <c r="D136" t="s">
        <v>24</v>
      </c>
      <c r="E136">
        <v>3.25</v>
      </c>
      <c r="F136">
        <v>2</v>
      </c>
      <c r="G136">
        <v>18.260000000000002</v>
      </c>
      <c r="H136">
        <f t="shared" si="10"/>
        <v>2</v>
      </c>
      <c r="I136">
        <f t="shared" si="11"/>
        <v>2</v>
      </c>
      <c r="J136">
        <f t="shared" si="9"/>
        <v>3</v>
      </c>
      <c r="K136">
        <f t="shared" si="12"/>
        <v>2</v>
      </c>
    </row>
    <row r="137" spans="1:11">
      <c r="A137" t="s">
        <v>7</v>
      </c>
      <c r="B137" t="s">
        <v>8</v>
      </c>
      <c r="C137" t="s">
        <v>23</v>
      </c>
      <c r="D137" t="s">
        <v>24</v>
      </c>
      <c r="E137">
        <v>1.25</v>
      </c>
      <c r="F137">
        <v>2</v>
      </c>
      <c r="G137">
        <v>8.51</v>
      </c>
      <c r="H137">
        <f t="shared" si="10"/>
        <v>2</v>
      </c>
      <c r="I137">
        <f t="shared" si="11"/>
        <v>2</v>
      </c>
      <c r="J137">
        <f t="shared" si="9"/>
        <v>3</v>
      </c>
      <c r="K137">
        <f t="shared" si="12"/>
        <v>2</v>
      </c>
    </row>
    <row r="138" spans="1:11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2</v>
      </c>
      <c r="G138">
        <v>10.33</v>
      </c>
      <c r="H138">
        <f t="shared" si="10"/>
        <v>2</v>
      </c>
      <c r="I138">
        <f t="shared" si="11"/>
        <v>2</v>
      </c>
      <c r="J138">
        <f t="shared" si="9"/>
        <v>3</v>
      </c>
      <c r="K138">
        <f t="shared" si="12"/>
        <v>2</v>
      </c>
    </row>
    <row r="139" spans="1:11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2</v>
      </c>
      <c r="G139">
        <v>14.15</v>
      </c>
      <c r="H139">
        <f t="shared" si="10"/>
        <v>2</v>
      </c>
      <c r="I139">
        <f t="shared" si="11"/>
        <v>2</v>
      </c>
      <c r="J139">
        <f t="shared" si="9"/>
        <v>3</v>
      </c>
      <c r="K139">
        <f t="shared" si="12"/>
        <v>2</v>
      </c>
    </row>
    <row r="140" spans="1:11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2</v>
      </c>
      <c r="G140">
        <v>16</v>
      </c>
      <c r="H140">
        <f t="shared" si="10"/>
        <v>1</v>
      </c>
      <c r="I140">
        <f t="shared" si="11"/>
        <v>1</v>
      </c>
      <c r="J140">
        <f t="shared" si="9"/>
        <v>3</v>
      </c>
      <c r="K140">
        <f t="shared" si="12"/>
        <v>2</v>
      </c>
    </row>
    <row r="141" spans="1:11">
      <c r="A141" t="s">
        <v>7</v>
      </c>
      <c r="B141" t="s">
        <v>8</v>
      </c>
      <c r="C141" t="s">
        <v>23</v>
      </c>
      <c r="D141" t="s">
        <v>24</v>
      </c>
      <c r="E141">
        <v>2.75</v>
      </c>
      <c r="F141">
        <v>2</v>
      </c>
      <c r="G141">
        <v>13.16</v>
      </c>
      <c r="H141">
        <f t="shared" si="10"/>
        <v>2</v>
      </c>
      <c r="I141">
        <f t="shared" si="11"/>
        <v>2</v>
      </c>
      <c r="J141">
        <f t="shared" si="9"/>
        <v>3</v>
      </c>
      <c r="K141">
        <f t="shared" si="12"/>
        <v>2</v>
      </c>
    </row>
    <row r="142" spans="1:11">
      <c r="A142" t="s">
        <v>7</v>
      </c>
      <c r="B142" t="s">
        <v>8</v>
      </c>
      <c r="C142" t="s">
        <v>23</v>
      </c>
      <c r="D142" t="s">
        <v>24</v>
      </c>
      <c r="E142">
        <v>3.5</v>
      </c>
      <c r="F142">
        <v>2</v>
      </c>
      <c r="G142">
        <v>17.47</v>
      </c>
      <c r="H142">
        <f t="shared" si="10"/>
        <v>2</v>
      </c>
      <c r="I142">
        <f t="shared" si="11"/>
        <v>2</v>
      </c>
      <c r="J142">
        <f t="shared" si="9"/>
        <v>3</v>
      </c>
      <c r="K142">
        <f t="shared" si="12"/>
        <v>2</v>
      </c>
    </row>
    <row r="143" spans="1:11">
      <c r="A143" t="s">
        <v>11</v>
      </c>
      <c r="B143" t="s">
        <v>8</v>
      </c>
      <c r="C143" t="s">
        <v>23</v>
      </c>
      <c r="D143" t="s">
        <v>24</v>
      </c>
      <c r="E143">
        <v>6.7</v>
      </c>
      <c r="F143">
        <v>6</v>
      </c>
      <c r="G143">
        <v>34.299999999999997</v>
      </c>
      <c r="H143">
        <f t="shared" si="10"/>
        <v>1</v>
      </c>
      <c r="I143">
        <f t="shared" si="11"/>
        <v>2</v>
      </c>
      <c r="J143">
        <f t="shared" si="9"/>
        <v>3</v>
      </c>
      <c r="K143">
        <f t="shared" si="12"/>
        <v>2</v>
      </c>
    </row>
    <row r="144" spans="1:11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5</v>
      </c>
      <c r="G144">
        <v>41.19</v>
      </c>
      <c r="H144">
        <f t="shared" si="10"/>
        <v>1</v>
      </c>
      <c r="I144">
        <f t="shared" si="11"/>
        <v>2</v>
      </c>
      <c r="J144">
        <f t="shared" si="9"/>
        <v>3</v>
      </c>
      <c r="K144">
        <f t="shared" si="12"/>
        <v>2</v>
      </c>
    </row>
    <row r="145" spans="1:11">
      <c r="A145" t="s">
        <v>7</v>
      </c>
      <c r="B145" t="s">
        <v>8</v>
      </c>
      <c r="C145" t="s">
        <v>23</v>
      </c>
      <c r="D145" t="s">
        <v>24</v>
      </c>
      <c r="E145">
        <v>5</v>
      </c>
      <c r="F145">
        <v>6</v>
      </c>
      <c r="G145">
        <v>27.05</v>
      </c>
      <c r="H145">
        <f t="shared" si="10"/>
        <v>2</v>
      </c>
      <c r="I145">
        <f t="shared" si="11"/>
        <v>2</v>
      </c>
      <c r="J145">
        <f t="shared" si="9"/>
        <v>3</v>
      </c>
      <c r="K145">
        <f t="shared" si="12"/>
        <v>2</v>
      </c>
    </row>
    <row r="146" spans="1:11">
      <c r="A146" t="s">
        <v>7</v>
      </c>
      <c r="B146" t="s">
        <v>8</v>
      </c>
      <c r="C146" t="s">
        <v>23</v>
      </c>
      <c r="D146" t="s">
        <v>24</v>
      </c>
      <c r="E146">
        <v>2.2999999999999998</v>
      </c>
      <c r="F146">
        <v>2</v>
      </c>
      <c r="G146">
        <v>16.43</v>
      </c>
      <c r="H146">
        <f t="shared" si="10"/>
        <v>2</v>
      </c>
      <c r="I146">
        <f t="shared" si="11"/>
        <v>2</v>
      </c>
      <c r="J146">
        <f t="shared" si="9"/>
        <v>3</v>
      </c>
      <c r="K146">
        <f t="shared" si="12"/>
        <v>2</v>
      </c>
    </row>
    <row r="147" spans="1:11">
      <c r="A147" t="s">
        <v>7</v>
      </c>
      <c r="B147" t="s">
        <v>8</v>
      </c>
      <c r="C147" t="s">
        <v>23</v>
      </c>
      <c r="D147" t="s">
        <v>24</v>
      </c>
      <c r="E147">
        <v>1.5</v>
      </c>
      <c r="F147">
        <v>2</v>
      </c>
      <c r="G147">
        <v>8.35</v>
      </c>
      <c r="H147">
        <f t="shared" si="10"/>
        <v>2</v>
      </c>
      <c r="I147">
        <f t="shared" si="11"/>
        <v>2</v>
      </c>
      <c r="J147">
        <f t="shared" si="9"/>
        <v>3</v>
      </c>
      <c r="K147">
        <f t="shared" si="12"/>
        <v>2</v>
      </c>
    </row>
    <row r="148" spans="1:11">
      <c r="A148" t="s">
        <v>7</v>
      </c>
      <c r="B148" t="s">
        <v>8</v>
      </c>
      <c r="C148" t="s">
        <v>23</v>
      </c>
      <c r="D148" t="s">
        <v>24</v>
      </c>
      <c r="E148">
        <v>1.36</v>
      </c>
      <c r="F148">
        <v>3</v>
      </c>
      <c r="G148">
        <v>18.64</v>
      </c>
      <c r="H148">
        <f t="shared" si="10"/>
        <v>2</v>
      </c>
      <c r="I148">
        <f t="shared" si="11"/>
        <v>2</v>
      </c>
      <c r="J148">
        <f t="shared" si="9"/>
        <v>3</v>
      </c>
      <c r="K148">
        <f t="shared" si="12"/>
        <v>2</v>
      </c>
    </row>
    <row r="149" spans="1:11">
      <c r="A149" t="s">
        <v>7</v>
      </c>
      <c r="B149" t="s">
        <v>8</v>
      </c>
      <c r="C149" t="s">
        <v>23</v>
      </c>
      <c r="D149" t="s">
        <v>24</v>
      </c>
      <c r="E149">
        <v>1.63</v>
      </c>
      <c r="F149">
        <v>2</v>
      </c>
      <c r="G149">
        <v>11.87</v>
      </c>
      <c r="H149">
        <f t="shared" si="10"/>
        <v>2</v>
      </c>
      <c r="I149">
        <f t="shared" si="11"/>
        <v>2</v>
      </c>
      <c r="J149">
        <f t="shared" si="9"/>
        <v>3</v>
      </c>
      <c r="K149">
        <f t="shared" si="12"/>
        <v>2</v>
      </c>
    </row>
    <row r="150" spans="1:11">
      <c r="A150" t="s">
        <v>11</v>
      </c>
      <c r="B150" t="s">
        <v>8</v>
      </c>
      <c r="C150" t="s">
        <v>23</v>
      </c>
      <c r="D150" t="s">
        <v>24</v>
      </c>
      <c r="E150">
        <v>1.73</v>
      </c>
      <c r="F150">
        <v>2</v>
      </c>
      <c r="G150">
        <v>9.7799999999999994</v>
      </c>
      <c r="H150">
        <f t="shared" si="10"/>
        <v>1</v>
      </c>
      <c r="I150">
        <f t="shared" si="11"/>
        <v>2</v>
      </c>
      <c r="J150">
        <f t="shared" si="9"/>
        <v>3</v>
      </c>
      <c r="K150">
        <f t="shared" si="12"/>
        <v>2</v>
      </c>
    </row>
    <row r="151" spans="1:11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2</v>
      </c>
      <c r="G151">
        <v>7.51</v>
      </c>
      <c r="H151">
        <f t="shared" si="10"/>
        <v>1</v>
      </c>
      <c r="I151">
        <f t="shared" si="11"/>
        <v>2</v>
      </c>
      <c r="J151">
        <f t="shared" si="9"/>
        <v>3</v>
      </c>
      <c r="K151">
        <f t="shared" si="12"/>
        <v>2</v>
      </c>
    </row>
    <row r="152" spans="1:11">
      <c r="A152" t="s">
        <v>11</v>
      </c>
      <c r="B152" t="s">
        <v>8</v>
      </c>
      <c r="C152" t="s">
        <v>9</v>
      </c>
      <c r="D152" t="s">
        <v>10</v>
      </c>
      <c r="E152">
        <v>2.5</v>
      </c>
      <c r="F152">
        <v>2</v>
      </c>
      <c r="G152">
        <v>14.07</v>
      </c>
      <c r="H152">
        <f t="shared" si="10"/>
        <v>1</v>
      </c>
      <c r="I152">
        <f t="shared" si="11"/>
        <v>2</v>
      </c>
      <c r="J152">
        <f t="shared" si="9"/>
        <v>1</v>
      </c>
      <c r="K152">
        <f t="shared" si="12"/>
        <v>1</v>
      </c>
    </row>
    <row r="153" spans="1:11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2</v>
      </c>
      <c r="G153">
        <v>13.13</v>
      </c>
      <c r="H153">
        <f t="shared" si="10"/>
        <v>1</v>
      </c>
      <c r="I153">
        <f t="shared" si="11"/>
        <v>2</v>
      </c>
      <c r="J153">
        <f t="shared" si="9"/>
        <v>1</v>
      </c>
      <c r="K153">
        <f t="shared" si="12"/>
        <v>1</v>
      </c>
    </row>
    <row r="154" spans="1:11">
      <c r="A154" t="s">
        <v>11</v>
      </c>
      <c r="B154" t="s">
        <v>8</v>
      </c>
      <c r="C154" t="s">
        <v>9</v>
      </c>
      <c r="D154" t="s">
        <v>10</v>
      </c>
      <c r="E154">
        <v>2.74</v>
      </c>
      <c r="F154">
        <v>3</v>
      </c>
      <c r="G154">
        <v>17.260000000000002</v>
      </c>
      <c r="H154">
        <f t="shared" si="10"/>
        <v>1</v>
      </c>
      <c r="I154">
        <f t="shared" si="11"/>
        <v>2</v>
      </c>
      <c r="J154">
        <f t="shared" si="9"/>
        <v>1</v>
      </c>
      <c r="K154">
        <f t="shared" si="12"/>
        <v>1</v>
      </c>
    </row>
    <row r="155" spans="1:11">
      <c r="A155" t="s">
        <v>11</v>
      </c>
      <c r="B155" t="s">
        <v>8</v>
      </c>
      <c r="C155" t="s">
        <v>9</v>
      </c>
      <c r="D155" t="s">
        <v>10</v>
      </c>
      <c r="E155">
        <v>2</v>
      </c>
      <c r="F155">
        <v>4</v>
      </c>
      <c r="G155">
        <v>24.55</v>
      </c>
      <c r="H155">
        <f t="shared" si="10"/>
        <v>1</v>
      </c>
      <c r="I155">
        <f t="shared" si="11"/>
        <v>2</v>
      </c>
      <c r="J155">
        <f t="shared" si="9"/>
        <v>1</v>
      </c>
      <c r="K155">
        <f t="shared" si="12"/>
        <v>1</v>
      </c>
    </row>
    <row r="156" spans="1:11">
      <c r="A156" t="s">
        <v>11</v>
      </c>
      <c r="B156" t="s">
        <v>8</v>
      </c>
      <c r="C156" t="s">
        <v>9</v>
      </c>
      <c r="D156" t="s">
        <v>10</v>
      </c>
      <c r="E156">
        <v>2</v>
      </c>
      <c r="F156">
        <v>4</v>
      </c>
      <c r="G156">
        <v>19.77</v>
      </c>
      <c r="H156">
        <f t="shared" si="10"/>
        <v>1</v>
      </c>
      <c r="I156">
        <f t="shared" si="11"/>
        <v>2</v>
      </c>
      <c r="J156">
        <f t="shared" si="9"/>
        <v>1</v>
      </c>
      <c r="K156">
        <f t="shared" si="12"/>
        <v>1</v>
      </c>
    </row>
    <row r="157" spans="1:11">
      <c r="A157" t="s">
        <v>7</v>
      </c>
      <c r="B157" t="s">
        <v>8</v>
      </c>
      <c r="C157" t="s">
        <v>9</v>
      </c>
      <c r="D157" t="s">
        <v>10</v>
      </c>
      <c r="E157">
        <v>5.14</v>
      </c>
      <c r="F157">
        <v>5</v>
      </c>
      <c r="G157">
        <v>29.85</v>
      </c>
      <c r="H157">
        <f t="shared" si="10"/>
        <v>2</v>
      </c>
      <c r="I157">
        <f t="shared" si="11"/>
        <v>2</v>
      </c>
      <c r="J157">
        <f t="shared" si="9"/>
        <v>1</v>
      </c>
      <c r="K157">
        <f t="shared" si="12"/>
        <v>1</v>
      </c>
    </row>
    <row r="158" spans="1:11">
      <c r="A158" t="s">
        <v>11</v>
      </c>
      <c r="B158" t="s">
        <v>8</v>
      </c>
      <c r="C158" t="s">
        <v>9</v>
      </c>
      <c r="D158" t="s">
        <v>10</v>
      </c>
      <c r="E158">
        <v>5</v>
      </c>
      <c r="F158">
        <v>6</v>
      </c>
      <c r="G158">
        <v>48.17</v>
      </c>
      <c r="H158">
        <f t="shared" si="10"/>
        <v>1</v>
      </c>
      <c r="I158">
        <f t="shared" si="11"/>
        <v>2</v>
      </c>
      <c r="J158">
        <f t="shared" si="9"/>
        <v>1</v>
      </c>
      <c r="K158">
        <f t="shared" si="12"/>
        <v>1</v>
      </c>
    </row>
    <row r="159" spans="1:11">
      <c r="A159" t="s">
        <v>7</v>
      </c>
      <c r="B159" t="s">
        <v>8</v>
      </c>
      <c r="C159" t="s">
        <v>9</v>
      </c>
      <c r="D159" t="s">
        <v>10</v>
      </c>
      <c r="E159">
        <v>3.75</v>
      </c>
      <c r="F159">
        <v>4</v>
      </c>
      <c r="G159">
        <v>25</v>
      </c>
      <c r="H159">
        <f t="shared" si="10"/>
        <v>2</v>
      </c>
      <c r="I159">
        <f t="shared" si="11"/>
        <v>2</v>
      </c>
      <c r="J159">
        <f t="shared" si="9"/>
        <v>1</v>
      </c>
      <c r="K159">
        <f t="shared" si="12"/>
        <v>1</v>
      </c>
    </row>
    <row r="160" spans="1:11">
      <c r="A160" t="s">
        <v>7</v>
      </c>
      <c r="B160" t="s">
        <v>8</v>
      </c>
      <c r="C160" t="s">
        <v>9</v>
      </c>
      <c r="D160" t="s">
        <v>10</v>
      </c>
      <c r="E160">
        <v>2.61</v>
      </c>
      <c r="F160">
        <v>2</v>
      </c>
      <c r="G160">
        <v>13.39</v>
      </c>
      <c r="H160">
        <f t="shared" si="10"/>
        <v>2</v>
      </c>
      <c r="I160">
        <f t="shared" si="11"/>
        <v>2</v>
      </c>
      <c r="J160">
        <f t="shared" si="9"/>
        <v>1</v>
      </c>
      <c r="K160">
        <f t="shared" si="12"/>
        <v>1</v>
      </c>
    </row>
    <row r="161" spans="1:11">
      <c r="A161" t="s">
        <v>11</v>
      </c>
      <c r="B161" t="s">
        <v>8</v>
      </c>
      <c r="C161" t="s">
        <v>9</v>
      </c>
      <c r="D161" t="s">
        <v>10</v>
      </c>
      <c r="E161">
        <v>2</v>
      </c>
      <c r="F161">
        <v>4</v>
      </c>
      <c r="G161">
        <v>16.489999999999998</v>
      </c>
      <c r="H161">
        <f t="shared" si="10"/>
        <v>1</v>
      </c>
      <c r="I161">
        <f t="shared" si="11"/>
        <v>2</v>
      </c>
      <c r="J161">
        <f t="shared" si="9"/>
        <v>1</v>
      </c>
      <c r="K161">
        <f t="shared" si="12"/>
        <v>1</v>
      </c>
    </row>
    <row r="162" spans="1:11">
      <c r="A162" t="s">
        <v>11</v>
      </c>
      <c r="B162" t="s">
        <v>8</v>
      </c>
      <c r="C162" t="s">
        <v>9</v>
      </c>
      <c r="D162" t="s">
        <v>10</v>
      </c>
      <c r="E162">
        <v>3.5</v>
      </c>
      <c r="F162">
        <v>4</v>
      </c>
      <c r="G162">
        <v>21.5</v>
      </c>
      <c r="H162">
        <f t="shared" si="10"/>
        <v>1</v>
      </c>
      <c r="I162">
        <f t="shared" si="11"/>
        <v>2</v>
      </c>
      <c r="J162">
        <f t="shared" si="9"/>
        <v>1</v>
      </c>
      <c r="K162">
        <f t="shared" si="12"/>
        <v>1</v>
      </c>
    </row>
    <row r="163" spans="1:11">
      <c r="A163" t="s">
        <v>11</v>
      </c>
      <c r="B163" t="s">
        <v>8</v>
      </c>
      <c r="C163" t="s">
        <v>9</v>
      </c>
      <c r="D163" t="s">
        <v>10</v>
      </c>
      <c r="E163">
        <v>2.5</v>
      </c>
      <c r="F163">
        <v>2</v>
      </c>
      <c r="G163">
        <v>12.66</v>
      </c>
      <c r="H163">
        <f t="shared" si="10"/>
        <v>1</v>
      </c>
      <c r="I163">
        <f t="shared" si="11"/>
        <v>2</v>
      </c>
      <c r="J163">
        <f t="shared" si="9"/>
        <v>1</v>
      </c>
      <c r="K163">
        <f t="shared" si="12"/>
        <v>1</v>
      </c>
    </row>
    <row r="164" spans="1:11">
      <c r="A164" t="s">
        <v>7</v>
      </c>
      <c r="B164" t="s">
        <v>8</v>
      </c>
      <c r="C164" t="s">
        <v>9</v>
      </c>
      <c r="D164" t="s">
        <v>10</v>
      </c>
      <c r="E164">
        <v>2</v>
      </c>
      <c r="F164">
        <v>3</v>
      </c>
      <c r="G164">
        <v>16.21</v>
      </c>
      <c r="H164">
        <f t="shared" si="10"/>
        <v>2</v>
      </c>
      <c r="I164">
        <f t="shared" si="11"/>
        <v>2</v>
      </c>
      <c r="J164">
        <f t="shared" si="9"/>
        <v>1</v>
      </c>
      <c r="K164">
        <f t="shared" si="12"/>
        <v>1</v>
      </c>
    </row>
    <row r="165" spans="1:11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2</v>
      </c>
      <c r="G165">
        <v>13.81</v>
      </c>
      <c r="H165">
        <f t="shared" si="10"/>
        <v>1</v>
      </c>
      <c r="I165">
        <f t="shared" si="11"/>
        <v>2</v>
      </c>
      <c r="J165">
        <f t="shared" si="9"/>
        <v>1</v>
      </c>
      <c r="K165">
        <f t="shared" si="12"/>
        <v>1</v>
      </c>
    </row>
    <row r="166" spans="1:11">
      <c r="A166" t="s">
        <v>7</v>
      </c>
      <c r="B166" t="s">
        <v>22</v>
      </c>
      <c r="C166" t="s">
        <v>9</v>
      </c>
      <c r="D166" t="s">
        <v>10</v>
      </c>
      <c r="E166">
        <v>3</v>
      </c>
      <c r="F166">
        <v>2</v>
      </c>
      <c r="G166">
        <v>17.510000000000002</v>
      </c>
      <c r="H166">
        <f t="shared" si="10"/>
        <v>2</v>
      </c>
      <c r="I166">
        <f t="shared" si="11"/>
        <v>1</v>
      </c>
      <c r="J166">
        <f t="shared" si="9"/>
        <v>1</v>
      </c>
      <c r="K166">
        <f t="shared" si="12"/>
        <v>1</v>
      </c>
    </row>
    <row r="167" spans="1:11">
      <c r="A167" t="s">
        <v>11</v>
      </c>
      <c r="B167" t="s">
        <v>8</v>
      </c>
      <c r="C167" t="s">
        <v>9</v>
      </c>
      <c r="D167" t="s">
        <v>10</v>
      </c>
      <c r="E167">
        <v>3.48</v>
      </c>
      <c r="F167">
        <v>3</v>
      </c>
      <c r="G167">
        <v>24.52</v>
      </c>
      <c r="H167">
        <f t="shared" si="10"/>
        <v>1</v>
      </c>
      <c r="I167">
        <f t="shared" si="11"/>
        <v>2</v>
      </c>
      <c r="J167">
        <f t="shared" si="9"/>
        <v>1</v>
      </c>
      <c r="K167">
        <f t="shared" si="12"/>
        <v>1</v>
      </c>
    </row>
    <row r="168" spans="1:11">
      <c r="A168" t="s">
        <v>11</v>
      </c>
      <c r="B168" t="s">
        <v>8</v>
      </c>
      <c r="C168" t="s">
        <v>9</v>
      </c>
      <c r="D168" t="s">
        <v>10</v>
      </c>
      <c r="E168">
        <v>2.2400000000000002</v>
      </c>
      <c r="F168">
        <v>2</v>
      </c>
      <c r="G168">
        <v>20.76</v>
      </c>
      <c r="H168">
        <f t="shared" si="10"/>
        <v>1</v>
      </c>
      <c r="I168">
        <f t="shared" si="11"/>
        <v>2</v>
      </c>
      <c r="J168">
        <f t="shared" si="9"/>
        <v>1</v>
      </c>
      <c r="K168">
        <f t="shared" si="12"/>
        <v>1</v>
      </c>
    </row>
    <row r="169" spans="1:11">
      <c r="A169" t="s">
        <v>11</v>
      </c>
      <c r="B169" t="s">
        <v>8</v>
      </c>
      <c r="C169" t="s">
        <v>9</v>
      </c>
      <c r="D169" t="s">
        <v>10</v>
      </c>
      <c r="E169">
        <v>4.5</v>
      </c>
      <c r="F169">
        <v>4</v>
      </c>
      <c r="G169">
        <v>31.71</v>
      </c>
      <c r="H169">
        <f t="shared" si="10"/>
        <v>1</v>
      </c>
      <c r="I169">
        <f t="shared" si="11"/>
        <v>2</v>
      </c>
      <c r="J169">
        <f t="shared" si="9"/>
        <v>1</v>
      </c>
      <c r="K169">
        <f t="shared" si="12"/>
        <v>1</v>
      </c>
    </row>
    <row r="170" spans="1:11">
      <c r="A170" t="s">
        <v>7</v>
      </c>
      <c r="B170" t="s">
        <v>22</v>
      </c>
      <c r="C170" t="s">
        <v>21</v>
      </c>
      <c r="D170" t="s">
        <v>10</v>
      </c>
      <c r="E170">
        <v>1.61</v>
      </c>
      <c r="F170">
        <v>2</v>
      </c>
      <c r="G170">
        <v>10.59</v>
      </c>
      <c r="H170">
        <f t="shared" si="10"/>
        <v>2</v>
      </c>
      <c r="I170">
        <f t="shared" si="11"/>
        <v>1</v>
      </c>
      <c r="J170">
        <f t="shared" si="9"/>
        <v>2</v>
      </c>
      <c r="K170">
        <f t="shared" si="12"/>
        <v>1</v>
      </c>
    </row>
    <row r="171" spans="1:11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2</v>
      </c>
      <c r="G171">
        <v>10.63</v>
      </c>
      <c r="H171">
        <f t="shared" si="10"/>
        <v>2</v>
      </c>
      <c r="I171">
        <f t="shared" si="11"/>
        <v>1</v>
      </c>
      <c r="J171">
        <f t="shared" si="9"/>
        <v>2</v>
      </c>
      <c r="K171">
        <f t="shared" si="12"/>
        <v>1</v>
      </c>
    </row>
    <row r="172" spans="1:11">
      <c r="A172" t="s">
        <v>11</v>
      </c>
      <c r="B172" t="s">
        <v>22</v>
      </c>
      <c r="C172" t="s">
        <v>21</v>
      </c>
      <c r="D172" t="s">
        <v>10</v>
      </c>
      <c r="E172">
        <v>10</v>
      </c>
      <c r="F172">
        <v>3</v>
      </c>
      <c r="G172">
        <v>50.81</v>
      </c>
      <c r="H172">
        <f t="shared" si="10"/>
        <v>1</v>
      </c>
      <c r="I172">
        <f t="shared" si="11"/>
        <v>1</v>
      </c>
      <c r="J172">
        <f t="shared" si="9"/>
        <v>2</v>
      </c>
      <c r="K172">
        <f t="shared" si="12"/>
        <v>1</v>
      </c>
    </row>
    <row r="173" spans="1:11">
      <c r="A173" t="s">
        <v>11</v>
      </c>
      <c r="B173" t="s">
        <v>22</v>
      </c>
      <c r="C173" t="s">
        <v>21</v>
      </c>
      <c r="D173" t="s">
        <v>10</v>
      </c>
      <c r="E173">
        <v>3.16</v>
      </c>
      <c r="F173">
        <v>2</v>
      </c>
      <c r="G173">
        <v>15.81</v>
      </c>
      <c r="H173">
        <f t="shared" si="10"/>
        <v>1</v>
      </c>
      <c r="I173">
        <f t="shared" si="11"/>
        <v>1</v>
      </c>
      <c r="J173">
        <f t="shared" si="9"/>
        <v>2</v>
      </c>
      <c r="K173">
        <f t="shared" si="12"/>
        <v>1</v>
      </c>
    </row>
    <row r="174" spans="1:11">
      <c r="A174" t="s">
        <v>11</v>
      </c>
      <c r="B174" t="s">
        <v>22</v>
      </c>
      <c r="C174" t="s">
        <v>9</v>
      </c>
      <c r="D174" t="s">
        <v>10</v>
      </c>
      <c r="E174">
        <v>5.15</v>
      </c>
      <c r="F174">
        <v>2</v>
      </c>
      <c r="G174">
        <v>7.25</v>
      </c>
      <c r="H174">
        <f t="shared" si="10"/>
        <v>1</v>
      </c>
      <c r="I174">
        <f t="shared" si="11"/>
        <v>1</v>
      </c>
      <c r="J174">
        <f t="shared" si="9"/>
        <v>1</v>
      </c>
      <c r="K174">
        <f t="shared" si="12"/>
        <v>1</v>
      </c>
    </row>
    <row r="175" spans="1:11">
      <c r="A175" t="s">
        <v>11</v>
      </c>
      <c r="B175" t="s">
        <v>22</v>
      </c>
      <c r="C175" t="s">
        <v>9</v>
      </c>
      <c r="D175" t="s">
        <v>10</v>
      </c>
      <c r="E175">
        <v>3.18</v>
      </c>
      <c r="F175">
        <v>2</v>
      </c>
      <c r="G175">
        <v>31.85</v>
      </c>
      <c r="H175">
        <f t="shared" si="10"/>
        <v>1</v>
      </c>
      <c r="I175">
        <f t="shared" si="11"/>
        <v>1</v>
      </c>
      <c r="J175">
        <f t="shared" si="9"/>
        <v>1</v>
      </c>
      <c r="K175">
        <f t="shared" si="12"/>
        <v>1</v>
      </c>
    </row>
    <row r="176" spans="1:11">
      <c r="A176" t="s">
        <v>11</v>
      </c>
      <c r="B176" t="s">
        <v>22</v>
      </c>
      <c r="C176" t="s">
        <v>9</v>
      </c>
      <c r="D176" t="s">
        <v>10</v>
      </c>
      <c r="E176">
        <v>4</v>
      </c>
      <c r="F176">
        <v>2</v>
      </c>
      <c r="G176">
        <v>16.82</v>
      </c>
      <c r="H176">
        <f t="shared" si="10"/>
        <v>1</v>
      </c>
      <c r="I176">
        <f t="shared" si="11"/>
        <v>1</v>
      </c>
      <c r="J176">
        <f t="shared" si="9"/>
        <v>1</v>
      </c>
      <c r="K176">
        <f t="shared" si="12"/>
        <v>1</v>
      </c>
    </row>
    <row r="177" spans="1:11">
      <c r="A177" t="s">
        <v>11</v>
      </c>
      <c r="B177" t="s">
        <v>22</v>
      </c>
      <c r="C177" t="s">
        <v>9</v>
      </c>
      <c r="D177" t="s">
        <v>10</v>
      </c>
      <c r="E177">
        <v>3.11</v>
      </c>
      <c r="F177">
        <v>2</v>
      </c>
      <c r="G177">
        <v>32.9</v>
      </c>
      <c r="H177">
        <f t="shared" si="10"/>
        <v>1</v>
      </c>
      <c r="I177">
        <f t="shared" si="11"/>
        <v>1</v>
      </c>
      <c r="J177">
        <f t="shared" si="9"/>
        <v>1</v>
      </c>
      <c r="K177">
        <f t="shared" si="12"/>
        <v>1</v>
      </c>
    </row>
    <row r="178" spans="1:11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2</v>
      </c>
      <c r="G178">
        <v>17.89</v>
      </c>
      <c r="H178">
        <f t="shared" si="10"/>
        <v>1</v>
      </c>
      <c r="I178">
        <f t="shared" si="11"/>
        <v>1</v>
      </c>
      <c r="J178">
        <f t="shared" si="9"/>
        <v>1</v>
      </c>
      <c r="K178">
        <f t="shared" si="12"/>
        <v>1</v>
      </c>
    </row>
    <row r="179" spans="1:11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2</v>
      </c>
      <c r="G179">
        <v>14.48</v>
      </c>
      <c r="H179">
        <f t="shared" si="10"/>
        <v>1</v>
      </c>
      <c r="I179">
        <f t="shared" si="11"/>
        <v>1</v>
      </c>
      <c r="J179">
        <f t="shared" si="9"/>
        <v>1</v>
      </c>
      <c r="K179">
        <f t="shared" si="12"/>
        <v>1</v>
      </c>
    </row>
    <row r="180" spans="1:11">
      <c r="A180" t="s">
        <v>7</v>
      </c>
      <c r="B180" t="s">
        <v>22</v>
      </c>
      <c r="C180" t="s">
        <v>9</v>
      </c>
      <c r="D180" t="s">
        <v>10</v>
      </c>
      <c r="E180">
        <v>4</v>
      </c>
      <c r="F180">
        <v>2</v>
      </c>
      <c r="G180">
        <v>9.6</v>
      </c>
      <c r="H180">
        <f t="shared" si="10"/>
        <v>2</v>
      </c>
      <c r="I180">
        <f t="shared" si="11"/>
        <v>1</v>
      </c>
      <c r="J180">
        <f t="shared" si="9"/>
        <v>1</v>
      </c>
      <c r="K180">
        <f t="shared" si="12"/>
        <v>1</v>
      </c>
    </row>
    <row r="181" spans="1:11">
      <c r="A181" t="s">
        <v>11</v>
      </c>
      <c r="B181" t="s">
        <v>22</v>
      </c>
      <c r="C181" t="s">
        <v>9</v>
      </c>
      <c r="D181" t="s">
        <v>10</v>
      </c>
      <c r="E181">
        <v>3.55</v>
      </c>
      <c r="F181">
        <v>2</v>
      </c>
      <c r="G181">
        <v>34.630000000000003</v>
      </c>
      <c r="H181">
        <f t="shared" si="10"/>
        <v>1</v>
      </c>
      <c r="I181">
        <f t="shared" si="11"/>
        <v>1</v>
      </c>
      <c r="J181">
        <f t="shared" si="9"/>
        <v>1</v>
      </c>
      <c r="K181">
        <f t="shared" si="12"/>
        <v>1</v>
      </c>
    </row>
    <row r="182" spans="1:11">
      <c r="A182" t="s">
        <v>11</v>
      </c>
      <c r="B182" t="s">
        <v>22</v>
      </c>
      <c r="C182" t="s">
        <v>9</v>
      </c>
      <c r="D182" t="s">
        <v>10</v>
      </c>
      <c r="E182">
        <v>3.68</v>
      </c>
      <c r="F182">
        <v>4</v>
      </c>
      <c r="G182">
        <v>34.65</v>
      </c>
      <c r="H182">
        <f t="shared" si="10"/>
        <v>1</v>
      </c>
      <c r="I182">
        <f t="shared" si="11"/>
        <v>1</v>
      </c>
      <c r="J182">
        <f t="shared" si="9"/>
        <v>1</v>
      </c>
      <c r="K182">
        <f t="shared" si="12"/>
        <v>1</v>
      </c>
    </row>
    <row r="183" spans="1:11">
      <c r="A183" t="s">
        <v>11</v>
      </c>
      <c r="B183" t="s">
        <v>22</v>
      </c>
      <c r="C183" t="s">
        <v>9</v>
      </c>
      <c r="D183" t="s">
        <v>10</v>
      </c>
      <c r="E183">
        <v>5.65</v>
      </c>
      <c r="F183">
        <v>2</v>
      </c>
      <c r="G183">
        <v>23.33</v>
      </c>
      <c r="H183">
        <f t="shared" si="10"/>
        <v>1</v>
      </c>
      <c r="I183">
        <f t="shared" si="11"/>
        <v>1</v>
      </c>
      <c r="J183">
        <f t="shared" si="9"/>
        <v>1</v>
      </c>
      <c r="K183">
        <f t="shared" si="12"/>
        <v>1</v>
      </c>
    </row>
    <row r="184" spans="1:11">
      <c r="A184" t="s">
        <v>11</v>
      </c>
      <c r="B184" t="s">
        <v>22</v>
      </c>
      <c r="C184" t="s">
        <v>9</v>
      </c>
      <c r="D184" t="s">
        <v>10</v>
      </c>
      <c r="E184">
        <v>3.5</v>
      </c>
      <c r="F184">
        <v>3</v>
      </c>
      <c r="G184">
        <v>45.35</v>
      </c>
      <c r="H184">
        <f t="shared" si="10"/>
        <v>1</v>
      </c>
      <c r="I184">
        <f t="shared" si="11"/>
        <v>1</v>
      </c>
      <c r="J184">
        <f t="shared" si="9"/>
        <v>1</v>
      </c>
      <c r="K184">
        <f t="shared" si="12"/>
        <v>1</v>
      </c>
    </row>
    <row r="185" spans="1:11">
      <c r="A185" t="s">
        <v>11</v>
      </c>
      <c r="B185" t="s">
        <v>22</v>
      </c>
      <c r="C185" t="s">
        <v>9</v>
      </c>
      <c r="D185" t="s">
        <v>10</v>
      </c>
      <c r="E185">
        <v>6.5</v>
      </c>
      <c r="F185">
        <v>4</v>
      </c>
      <c r="G185">
        <v>23.17</v>
      </c>
      <c r="H185">
        <f t="shared" si="10"/>
        <v>1</v>
      </c>
      <c r="I185">
        <f t="shared" si="11"/>
        <v>1</v>
      </c>
      <c r="J185">
        <f t="shared" si="9"/>
        <v>1</v>
      </c>
      <c r="K185">
        <f t="shared" si="12"/>
        <v>1</v>
      </c>
    </row>
    <row r="186" spans="1:11">
      <c r="A186" t="s">
        <v>11</v>
      </c>
      <c r="B186" t="s">
        <v>22</v>
      </c>
      <c r="C186" t="s">
        <v>9</v>
      </c>
      <c r="D186" t="s">
        <v>10</v>
      </c>
      <c r="E186">
        <v>3</v>
      </c>
      <c r="F186">
        <v>2</v>
      </c>
      <c r="G186">
        <v>40.549999999999997</v>
      </c>
      <c r="H186">
        <f t="shared" si="10"/>
        <v>1</v>
      </c>
      <c r="I186">
        <f t="shared" si="11"/>
        <v>1</v>
      </c>
      <c r="J186">
        <f t="shared" si="9"/>
        <v>1</v>
      </c>
      <c r="K186">
        <f t="shared" si="12"/>
        <v>1</v>
      </c>
    </row>
    <row r="187" spans="1:11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5</v>
      </c>
      <c r="G187">
        <v>20.69</v>
      </c>
      <c r="H187">
        <f t="shared" si="10"/>
        <v>1</v>
      </c>
      <c r="I187">
        <f t="shared" si="11"/>
        <v>2</v>
      </c>
      <c r="J187">
        <f t="shared" si="9"/>
        <v>1</v>
      </c>
      <c r="K187">
        <f t="shared" si="12"/>
        <v>1</v>
      </c>
    </row>
    <row r="188" spans="1:11">
      <c r="A188" t="s">
        <v>7</v>
      </c>
      <c r="B188" t="s">
        <v>22</v>
      </c>
      <c r="C188" t="s">
        <v>9</v>
      </c>
      <c r="D188" t="s">
        <v>10</v>
      </c>
      <c r="E188">
        <v>3.5</v>
      </c>
      <c r="F188">
        <v>3</v>
      </c>
      <c r="G188">
        <v>20.9</v>
      </c>
      <c r="H188">
        <f t="shared" si="10"/>
        <v>2</v>
      </c>
      <c r="I188">
        <f t="shared" si="11"/>
        <v>1</v>
      </c>
      <c r="J188">
        <f t="shared" si="9"/>
        <v>1</v>
      </c>
      <c r="K188">
        <f t="shared" si="12"/>
        <v>1</v>
      </c>
    </row>
    <row r="189" spans="1:11">
      <c r="A189" t="s">
        <v>11</v>
      </c>
      <c r="B189" t="s">
        <v>22</v>
      </c>
      <c r="C189" t="s">
        <v>9</v>
      </c>
      <c r="D189" t="s">
        <v>10</v>
      </c>
      <c r="E189">
        <v>2</v>
      </c>
      <c r="F189">
        <v>5</v>
      </c>
      <c r="G189">
        <v>30.46</v>
      </c>
      <c r="H189">
        <f t="shared" si="10"/>
        <v>1</v>
      </c>
      <c r="I189">
        <f t="shared" si="11"/>
        <v>1</v>
      </c>
      <c r="J189">
        <f t="shared" si="9"/>
        <v>1</v>
      </c>
      <c r="K189">
        <f t="shared" si="12"/>
        <v>1</v>
      </c>
    </row>
    <row r="190" spans="1:11">
      <c r="A190" t="s">
        <v>7</v>
      </c>
      <c r="B190" t="s">
        <v>22</v>
      </c>
      <c r="C190" t="s">
        <v>9</v>
      </c>
      <c r="D190" t="s">
        <v>10</v>
      </c>
      <c r="E190">
        <v>3.5</v>
      </c>
      <c r="F190">
        <v>3</v>
      </c>
      <c r="G190">
        <v>18.149999999999999</v>
      </c>
      <c r="H190">
        <f t="shared" si="10"/>
        <v>2</v>
      </c>
      <c r="I190">
        <f t="shared" si="11"/>
        <v>1</v>
      </c>
      <c r="J190">
        <f t="shared" si="9"/>
        <v>1</v>
      </c>
      <c r="K190">
        <f t="shared" si="12"/>
        <v>1</v>
      </c>
    </row>
    <row r="191" spans="1:11">
      <c r="A191" t="s">
        <v>11</v>
      </c>
      <c r="B191" t="s">
        <v>22</v>
      </c>
      <c r="C191" t="s">
        <v>9</v>
      </c>
      <c r="D191" t="s">
        <v>10</v>
      </c>
      <c r="E191">
        <v>4</v>
      </c>
      <c r="F191">
        <v>3</v>
      </c>
      <c r="G191">
        <v>23.1</v>
      </c>
      <c r="H191">
        <f t="shared" si="10"/>
        <v>1</v>
      </c>
      <c r="I191">
        <f t="shared" si="11"/>
        <v>1</v>
      </c>
      <c r="J191">
        <f t="shared" si="9"/>
        <v>1</v>
      </c>
      <c r="K191">
        <f t="shared" si="12"/>
        <v>1</v>
      </c>
    </row>
    <row r="192" spans="1:11">
      <c r="A192" t="s">
        <v>11</v>
      </c>
      <c r="B192" t="s">
        <v>22</v>
      </c>
      <c r="C192" t="s">
        <v>9</v>
      </c>
      <c r="D192" t="s">
        <v>10</v>
      </c>
      <c r="E192">
        <v>1.5</v>
      </c>
      <c r="F192">
        <v>2</v>
      </c>
      <c r="G192">
        <v>15.69</v>
      </c>
      <c r="H192">
        <f t="shared" si="10"/>
        <v>1</v>
      </c>
      <c r="I192">
        <f t="shared" si="11"/>
        <v>1</v>
      </c>
      <c r="J192">
        <f t="shared" si="9"/>
        <v>1</v>
      </c>
      <c r="K192">
        <f t="shared" si="12"/>
        <v>1</v>
      </c>
    </row>
    <row r="193" spans="1:11">
      <c r="A193" t="s">
        <v>7</v>
      </c>
      <c r="B193" t="s">
        <v>22</v>
      </c>
      <c r="C193" t="s">
        <v>23</v>
      </c>
      <c r="D193" t="s">
        <v>24</v>
      </c>
      <c r="E193">
        <v>4.1900000000000004</v>
      </c>
      <c r="F193">
        <v>2</v>
      </c>
      <c r="G193">
        <v>19.809999999999999</v>
      </c>
      <c r="H193">
        <f t="shared" si="10"/>
        <v>2</v>
      </c>
      <c r="I193">
        <f t="shared" si="11"/>
        <v>1</v>
      </c>
      <c r="J193">
        <f t="shared" si="9"/>
        <v>3</v>
      </c>
      <c r="K193">
        <f t="shared" si="12"/>
        <v>2</v>
      </c>
    </row>
    <row r="194" spans="1:11">
      <c r="A194" t="s">
        <v>11</v>
      </c>
      <c r="B194" t="s">
        <v>22</v>
      </c>
      <c r="C194" t="s">
        <v>23</v>
      </c>
      <c r="D194" t="s">
        <v>24</v>
      </c>
      <c r="E194">
        <v>2.56</v>
      </c>
      <c r="F194">
        <v>2</v>
      </c>
      <c r="G194">
        <v>28.44</v>
      </c>
      <c r="H194">
        <f t="shared" si="10"/>
        <v>1</v>
      </c>
      <c r="I194">
        <f t="shared" si="11"/>
        <v>1</v>
      </c>
      <c r="J194">
        <f t="shared" ref="J194:J245" si="13">IF(C194="Sun", 1, IF(C194="Sat", 2, IF(C194="Thur", 3, IF(C194="Fri", 4, ""))))</f>
        <v>3</v>
      </c>
      <c r="K194">
        <f t="shared" si="12"/>
        <v>2</v>
      </c>
    </row>
    <row r="195" spans="1:11">
      <c r="A195" t="s">
        <v>11</v>
      </c>
      <c r="B195" t="s">
        <v>22</v>
      </c>
      <c r="C195" t="s">
        <v>23</v>
      </c>
      <c r="D195" t="s">
        <v>24</v>
      </c>
      <c r="E195">
        <v>2.02</v>
      </c>
      <c r="F195">
        <v>2</v>
      </c>
      <c r="G195">
        <v>15.48</v>
      </c>
      <c r="H195">
        <f t="shared" ref="H195:H245" si="14">IF($A195 = "Male",1,2)</f>
        <v>1</v>
      </c>
      <c r="I195">
        <f t="shared" ref="I195:I245" si="15">IF($B195 = "Yes",1,2)</f>
        <v>1</v>
      </c>
      <c r="J195">
        <f t="shared" si="13"/>
        <v>3</v>
      </c>
      <c r="K195">
        <f t="shared" ref="K195:K245" si="16">IF($D195 = "Dinner",1,2)</f>
        <v>2</v>
      </c>
    </row>
    <row r="196" spans="1:11">
      <c r="A196" t="s">
        <v>11</v>
      </c>
      <c r="B196" t="s">
        <v>22</v>
      </c>
      <c r="C196" t="s">
        <v>23</v>
      </c>
      <c r="D196" t="s">
        <v>24</v>
      </c>
      <c r="E196">
        <v>4</v>
      </c>
      <c r="F196">
        <v>2</v>
      </c>
      <c r="G196">
        <v>16.579999999999998</v>
      </c>
      <c r="H196">
        <f t="shared" si="14"/>
        <v>1</v>
      </c>
      <c r="I196">
        <f t="shared" si="15"/>
        <v>1</v>
      </c>
      <c r="J196">
        <f t="shared" si="13"/>
        <v>3</v>
      </c>
      <c r="K196">
        <f t="shared" si="16"/>
        <v>2</v>
      </c>
    </row>
    <row r="197" spans="1:11">
      <c r="A197" t="s">
        <v>11</v>
      </c>
      <c r="B197" t="s">
        <v>8</v>
      </c>
      <c r="C197" t="s">
        <v>23</v>
      </c>
      <c r="D197" t="s">
        <v>24</v>
      </c>
      <c r="E197">
        <v>1.44</v>
      </c>
      <c r="F197">
        <v>2</v>
      </c>
      <c r="G197">
        <v>7.56</v>
      </c>
      <c r="H197">
        <f t="shared" si="14"/>
        <v>1</v>
      </c>
      <c r="I197">
        <f t="shared" si="15"/>
        <v>2</v>
      </c>
      <c r="J197">
        <f t="shared" si="13"/>
        <v>3</v>
      </c>
      <c r="K197">
        <f t="shared" si="16"/>
        <v>2</v>
      </c>
    </row>
    <row r="198" spans="1:11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2</v>
      </c>
      <c r="G198">
        <v>10.34</v>
      </c>
      <c r="H198">
        <f t="shared" si="14"/>
        <v>1</v>
      </c>
      <c r="I198">
        <f t="shared" si="15"/>
        <v>1</v>
      </c>
      <c r="J198">
        <f t="shared" si="13"/>
        <v>3</v>
      </c>
      <c r="K198">
        <f t="shared" si="16"/>
        <v>2</v>
      </c>
    </row>
    <row r="199" spans="1:11">
      <c r="A199" t="s">
        <v>7</v>
      </c>
      <c r="B199" t="s">
        <v>22</v>
      </c>
      <c r="C199" t="s">
        <v>23</v>
      </c>
      <c r="D199" t="s">
        <v>24</v>
      </c>
      <c r="E199">
        <v>5</v>
      </c>
      <c r="F199">
        <v>4</v>
      </c>
      <c r="G199">
        <v>43.11</v>
      </c>
      <c r="H199">
        <f t="shared" si="14"/>
        <v>2</v>
      </c>
      <c r="I199">
        <f t="shared" si="15"/>
        <v>1</v>
      </c>
      <c r="J199">
        <f t="shared" si="13"/>
        <v>3</v>
      </c>
      <c r="K199">
        <f t="shared" si="16"/>
        <v>2</v>
      </c>
    </row>
    <row r="200" spans="1:11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2</v>
      </c>
      <c r="G200">
        <v>13</v>
      </c>
      <c r="H200">
        <f t="shared" si="14"/>
        <v>2</v>
      </c>
      <c r="I200">
        <f t="shared" si="15"/>
        <v>1</v>
      </c>
      <c r="J200">
        <f t="shared" si="13"/>
        <v>3</v>
      </c>
      <c r="K200">
        <f t="shared" si="16"/>
        <v>2</v>
      </c>
    </row>
    <row r="201" spans="1:11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2</v>
      </c>
      <c r="G201">
        <v>13.51</v>
      </c>
      <c r="H201">
        <f t="shared" si="14"/>
        <v>1</v>
      </c>
      <c r="I201">
        <f t="shared" si="15"/>
        <v>1</v>
      </c>
      <c r="J201">
        <f t="shared" si="13"/>
        <v>3</v>
      </c>
      <c r="K201">
        <f t="shared" si="16"/>
        <v>2</v>
      </c>
    </row>
    <row r="202" spans="1:11">
      <c r="A202" t="s">
        <v>11</v>
      </c>
      <c r="B202" t="s">
        <v>22</v>
      </c>
      <c r="C202" t="s">
        <v>23</v>
      </c>
      <c r="D202" t="s">
        <v>24</v>
      </c>
      <c r="E202">
        <v>4</v>
      </c>
      <c r="F202">
        <v>3</v>
      </c>
      <c r="G202">
        <v>18.71</v>
      </c>
      <c r="H202">
        <f t="shared" si="14"/>
        <v>1</v>
      </c>
      <c r="I202">
        <f t="shared" si="15"/>
        <v>1</v>
      </c>
      <c r="J202">
        <f t="shared" si="13"/>
        <v>3</v>
      </c>
      <c r="K202">
        <f t="shared" si="16"/>
        <v>2</v>
      </c>
    </row>
    <row r="203" spans="1:11">
      <c r="A203" t="s">
        <v>7</v>
      </c>
      <c r="B203" t="s">
        <v>22</v>
      </c>
      <c r="C203" t="s">
        <v>23</v>
      </c>
      <c r="D203" t="s">
        <v>24</v>
      </c>
      <c r="E203">
        <v>2.0099999999999998</v>
      </c>
      <c r="F203">
        <v>2</v>
      </c>
      <c r="G203">
        <v>12.74</v>
      </c>
      <c r="H203">
        <f t="shared" si="14"/>
        <v>2</v>
      </c>
      <c r="I203">
        <f t="shared" si="15"/>
        <v>1</v>
      </c>
      <c r="J203">
        <f t="shared" si="13"/>
        <v>3</v>
      </c>
      <c r="K203">
        <f t="shared" si="16"/>
        <v>2</v>
      </c>
    </row>
    <row r="204" spans="1:11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2</v>
      </c>
      <c r="G204">
        <v>13</v>
      </c>
      <c r="H204">
        <f t="shared" si="14"/>
        <v>2</v>
      </c>
      <c r="I204">
        <f t="shared" si="15"/>
        <v>1</v>
      </c>
      <c r="J204">
        <f t="shared" si="13"/>
        <v>3</v>
      </c>
      <c r="K204">
        <f t="shared" si="16"/>
        <v>2</v>
      </c>
    </row>
    <row r="205" spans="1:11">
      <c r="A205" t="s">
        <v>7</v>
      </c>
      <c r="B205" t="s">
        <v>22</v>
      </c>
      <c r="C205" t="s">
        <v>23</v>
      </c>
      <c r="D205" t="s">
        <v>24</v>
      </c>
      <c r="E205">
        <v>2.5</v>
      </c>
      <c r="F205">
        <v>2</v>
      </c>
      <c r="G205">
        <v>16.399999999999999</v>
      </c>
      <c r="H205">
        <f t="shared" si="14"/>
        <v>2</v>
      </c>
      <c r="I205">
        <f t="shared" si="15"/>
        <v>1</v>
      </c>
      <c r="J205">
        <f t="shared" si="13"/>
        <v>3</v>
      </c>
      <c r="K205">
        <f t="shared" si="16"/>
        <v>2</v>
      </c>
    </row>
    <row r="206" spans="1:11">
      <c r="A206" t="s">
        <v>11</v>
      </c>
      <c r="B206" t="s">
        <v>22</v>
      </c>
      <c r="C206" t="s">
        <v>23</v>
      </c>
      <c r="D206" t="s">
        <v>24</v>
      </c>
      <c r="E206">
        <v>4</v>
      </c>
      <c r="F206">
        <v>4</v>
      </c>
      <c r="G206">
        <v>20.53</v>
      </c>
      <c r="H206">
        <f t="shared" si="14"/>
        <v>1</v>
      </c>
      <c r="I206">
        <f t="shared" si="15"/>
        <v>1</v>
      </c>
      <c r="J206">
        <f t="shared" si="13"/>
        <v>3</v>
      </c>
      <c r="K206">
        <f t="shared" si="16"/>
        <v>2</v>
      </c>
    </row>
    <row r="207" spans="1:11">
      <c r="A207" t="s">
        <v>7</v>
      </c>
      <c r="B207" t="s">
        <v>22</v>
      </c>
      <c r="C207" t="s">
        <v>23</v>
      </c>
      <c r="D207" t="s">
        <v>24</v>
      </c>
      <c r="E207">
        <v>3.23</v>
      </c>
      <c r="F207">
        <v>3</v>
      </c>
      <c r="G207">
        <v>16.47</v>
      </c>
      <c r="H207">
        <f t="shared" si="14"/>
        <v>2</v>
      </c>
      <c r="I207">
        <f t="shared" si="15"/>
        <v>1</v>
      </c>
      <c r="J207">
        <f t="shared" si="13"/>
        <v>3</v>
      </c>
      <c r="K207">
        <f t="shared" si="16"/>
        <v>2</v>
      </c>
    </row>
    <row r="208" spans="1:11">
      <c r="A208" t="s">
        <v>11</v>
      </c>
      <c r="B208" t="s">
        <v>22</v>
      </c>
      <c r="C208" t="s">
        <v>21</v>
      </c>
      <c r="D208" t="s">
        <v>10</v>
      </c>
      <c r="E208">
        <v>3.41</v>
      </c>
      <c r="F208">
        <v>3</v>
      </c>
      <c r="G208">
        <v>26.59</v>
      </c>
      <c r="H208">
        <f t="shared" si="14"/>
        <v>1</v>
      </c>
      <c r="I208">
        <f t="shared" si="15"/>
        <v>1</v>
      </c>
      <c r="J208">
        <f t="shared" si="13"/>
        <v>2</v>
      </c>
      <c r="K208">
        <f t="shared" si="16"/>
        <v>1</v>
      </c>
    </row>
    <row r="209" spans="1:11">
      <c r="A209" t="s">
        <v>11</v>
      </c>
      <c r="B209" t="s">
        <v>22</v>
      </c>
      <c r="C209" t="s">
        <v>21</v>
      </c>
      <c r="D209" t="s">
        <v>10</v>
      </c>
      <c r="E209">
        <v>3</v>
      </c>
      <c r="F209">
        <v>4</v>
      </c>
      <c r="G209">
        <v>38.729999999999997</v>
      </c>
      <c r="H209">
        <f t="shared" si="14"/>
        <v>1</v>
      </c>
      <c r="I209">
        <f t="shared" si="15"/>
        <v>1</v>
      </c>
      <c r="J209">
        <f t="shared" si="13"/>
        <v>2</v>
      </c>
      <c r="K209">
        <f t="shared" si="16"/>
        <v>1</v>
      </c>
    </row>
    <row r="210" spans="1:11">
      <c r="A210" t="s">
        <v>11</v>
      </c>
      <c r="B210" t="s">
        <v>22</v>
      </c>
      <c r="C210" t="s">
        <v>21</v>
      </c>
      <c r="D210" t="s">
        <v>10</v>
      </c>
      <c r="E210">
        <v>2.0299999999999998</v>
      </c>
      <c r="F210">
        <v>2</v>
      </c>
      <c r="G210">
        <v>24.27</v>
      </c>
      <c r="H210">
        <f t="shared" si="14"/>
        <v>1</v>
      </c>
      <c r="I210">
        <f t="shared" si="15"/>
        <v>1</v>
      </c>
      <c r="J210">
        <f t="shared" si="13"/>
        <v>2</v>
      </c>
      <c r="K210">
        <f t="shared" si="16"/>
        <v>1</v>
      </c>
    </row>
    <row r="211" spans="1:11">
      <c r="A211" t="s">
        <v>7</v>
      </c>
      <c r="B211" t="s">
        <v>22</v>
      </c>
      <c r="C211" t="s">
        <v>21</v>
      </c>
      <c r="D211" t="s">
        <v>10</v>
      </c>
      <c r="E211">
        <v>2.23</v>
      </c>
      <c r="F211">
        <v>2</v>
      </c>
      <c r="G211">
        <v>12.76</v>
      </c>
      <c r="H211">
        <f t="shared" si="14"/>
        <v>2</v>
      </c>
      <c r="I211">
        <f t="shared" si="15"/>
        <v>1</v>
      </c>
      <c r="J211">
        <f t="shared" si="13"/>
        <v>2</v>
      </c>
      <c r="K211">
        <f t="shared" si="16"/>
        <v>1</v>
      </c>
    </row>
    <row r="212" spans="1:11">
      <c r="A212" t="s">
        <v>11</v>
      </c>
      <c r="B212" t="s">
        <v>22</v>
      </c>
      <c r="C212" t="s">
        <v>21</v>
      </c>
      <c r="D212" t="s">
        <v>10</v>
      </c>
      <c r="E212">
        <v>2</v>
      </c>
      <c r="F212">
        <v>3</v>
      </c>
      <c r="G212">
        <v>30.06</v>
      </c>
      <c r="H212">
        <f t="shared" si="14"/>
        <v>1</v>
      </c>
      <c r="I212">
        <f t="shared" si="15"/>
        <v>1</v>
      </c>
      <c r="J212">
        <f t="shared" si="13"/>
        <v>2</v>
      </c>
      <c r="K212">
        <f t="shared" si="16"/>
        <v>1</v>
      </c>
    </row>
    <row r="213" spans="1:11">
      <c r="A213" t="s">
        <v>11</v>
      </c>
      <c r="B213" t="s">
        <v>22</v>
      </c>
      <c r="C213" t="s">
        <v>21</v>
      </c>
      <c r="D213" t="s">
        <v>10</v>
      </c>
      <c r="E213">
        <v>5.16</v>
      </c>
      <c r="F213">
        <v>4</v>
      </c>
      <c r="G213">
        <v>25.89</v>
      </c>
      <c r="H213">
        <f t="shared" si="14"/>
        <v>1</v>
      </c>
      <c r="I213">
        <f t="shared" si="15"/>
        <v>1</v>
      </c>
      <c r="J213">
        <f t="shared" si="13"/>
        <v>2</v>
      </c>
      <c r="K213">
        <f t="shared" si="16"/>
        <v>1</v>
      </c>
    </row>
    <row r="214" spans="1:11">
      <c r="A214" t="s">
        <v>11</v>
      </c>
      <c r="B214" t="s">
        <v>8</v>
      </c>
      <c r="C214" t="s">
        <v>21</v>
      </c>
      <c r="D214" t="s">
        <v>10</v>
      </c>
      <c r="E214">
        <v>9</v>
      </c>
      <c r="F214">
        <v>4</v>
      </c>
      <c r="G214">
        <v>48.33</v>
      </c>
      <c r="H214">
        <f t="shared" si="14"/>
        <v>1</v>
      </c>
      <c r="I214">
        <f t="shared" si="15"/>
        <v>2</v>
      </c>
      <c r="J214">
        <f t="shared" si="13"/>
        <v>2</v>
      </c>
      <c r="K214">
        <f t="shared" si="16"/>
        <v>1</v>
      </c>
    </row>
    <row r="215" spans="1:11">
      <c r="A215" t="s">
        <v>7</v>
      </c>
      <c r="B215" t="s">
        <v>22</v>
      </c>
      <c r="C215" t="s">
        <v>21</v>
      </c>
      <c r="D215" t="s">
        <v>10</v>
      </c>
      <c r="E215">
        <v>2.5</v>
      </c>
      <c r="F215">
        <v>2</v>
      </c>
      <c r="G215">
        <v>13.27</v>
      </c>
      <c r="H215">
        <f t="shared" si="14"/>
        <v>2</v>
      </c>
      <c r="I215">
        <f t="shared" si="15"/>
        <v>1</v>
      </c>
      <c r="J215">
        <f t="shared" si="13"/>
        <v>2</v>
      </c>
      <c r="K215">
        <f t="shared" si="16"/>
        <v>1</v>
      </c>
    </row>
    <row r="216" spans="1:11">
      <c r="A216" t="s">
        <v>7</v>
      </c>
      <c r="B216" t="s">
        <v>22</v>
      </c>
      <c r="C216" t="s">
        <v>21</v>
      </c>
      <c r="D216" t="s">
        <v>10</v>
      </c>
      <c r="E216">
        <v>6.5</v>
      </c>
      <c r="F216">
        <v>3</v>
      </c>
      <c r="G216">
        <v>28.17</v>
      </c>
      <c r="H216">
        <f t="shared" si="14"/>
        <v>2</v>
      </c>
      <c r="I216">
        <f t="shared" si="15"/>
        <v>1</v>
      </c>
      <c r="J216">
        <f t="shared" si="13"/>
        <v>2</v>
      </c>
      <c r="K216">
        <f t="shared" si="16"/>
        <v>1</v>
      </c>
    </row>
    <row r="217" spans="1:11">
      <c r="A217" t="s">
        <v>7</v>
      </c>
      <c r="B217" t="s">
        <v>22</v>
      </c>
      <c r="C217" t="s">
        <v>21</v>
      </c>
      <c r="D217" t="s">
        <v>10</v>
      </c>
      <c r="E217">
        <v>1.1000000000000001</v>
      </c>
      <c r="F217">
        <v>2</v>
      </c>
      <c r="G217">
        <v>12.9</v>
      </c>
      <c r="H217">
        <f t="shared" si="14"/>
        <v>2</v>
      </c>
      <c r="I217">
        <f t="shared" si="15"/>
        <v>1</v>
      </c>
      <c r="J217">
        <f t="shared" si="13"/>
        <v>2</v>
      </c>
      <c r="K217">
        <f t="shared" si="16"/>
        <v>1</v>
      </c>
    </row>
    <row r="218" spans="1:11">
      <c r="A218" t="s">
        <v>11</v>
      </c>
      <c r="B218" t="s">
        <v>22</v>
      </c>
      <c r="C218" t="s">
        <v>21</v>
      </c>
      <c r="D218" t="s">
        <v>10</v>
      </c>
      <c r="E218">
        <v>3</v>
      </c>
      <c r="F218">
        <v>5</v>
      </c>
      <c r="G218">
        <v>28.15</v>
      </c>
      <c r="H218">
        <f t="shared" si="14"/>
        <v>1</v>
      </c>
      <c r="I218">
        <f t="shared" si="15"/>
        <v>1</v>
      </c>
      <c r="J218">
        <f t="shared" si="13"/>
        <v>2</v>
      </c>
      <c r="K218">
        <f t="shared" si="16"/>
        <v>1</v>
      </c>
    </row>
    <row r="219" spans="1:11">
      <c r="A219" t="s">
        <v>11</v>
      </c>
      <c r="B219" t="s">
        <v>22</v>
      </c>
      <c r="C219" t="s">
        <v>21</v>
      </c>
      <c r="D219" t="s">
        <v>10</v>
      </c>
      <c r="E219">
        <v>1.5</v>
      </c>
      <c r="F219">
        <v>2</v>
      </c>
      <c r="G219">
        <v>11.59</v>
      </c>
      <c r="H219">
        <f t="shared" si="14"/>
        <v>1</v>
      </c>
      <c r="I219">
        <f t="shared" si="15"/>
        <v>1</v>
      </c>
      <c r="J219">
        <f t="shared" si="13"/>
        <v>2</v>
      </c>
      <c r="K219">
        <f t="shared" si="16"/>
        <v>1</v>
      </c>
    </row>
    <row r="220" spans="1:11">
      <c r="A220" t="s">
        <v>11</v>
      </c>
      <c r="B220" t="s">
        <v>22</v>
      </c>
      <c r="C220" t="s">
        <v>21</v>
      </c>
      <c r="D220" t="s">
        <v>10</v>
      </c>
      <c r="E220">
        <v>1.44</v>
      </c>
      <c r="F220">
        <v>2</v>
      </c>
      <c r="G220">
        <v>7.74</v>
      </c>
      <c r="H220">
        <f t="shared" si="14"/>
        <v>1</v>
      </c>
      <c r="I220">
        <f t="shared" si="15"/>
        <v>1</v>
      </c>
      <c r="J220">
        <f t="shared" si="13"/>
        <v>2</v>
      </c>
      <c r="K220">
        <f t="shared" si="16"/>
        <v>1</v>
      </c>
    </row>
    <row r="221" spans="1:11">
      <c r="A221" t="s">
        <v>7</v>
      </c>
      <c r="B221" t="s">
        <v>22</v>
      </c>
      <c r="C221" t="s">
        <v>21</v>
      </c>
      <c r="D221" t="s">
        <v>10</v>
      </c>
      <c r="E221">
        <v>3.09</v>
      </c>
      <c r="F221">
        <v>4</v>
      </c>
      <c r="G221">
        <v>30.14</v>
      </c>
      <c r="H221">
        <f t="shared" si="14"/>
        <v>2</v>
      </c>
      <c r="I221">
        <f t="shared" si="15"/>
        <v>1</v>
      </c>
      <c r="J221">
        <f t="shared" si="13"/>
        <v>2</v>
      </c>
      <c r="K221">
        <f t="shared" si="16"/>
        <v>1</v>
      </c>
    </row>
    <row r="222" spans="1:11">
      <c r="A222" t="s">
        <v>11</v>
      </c>
      <c r="B222" t="s">
        <v>22</v>
      </c>
      <c r="C222" t="s">
        <v>25</v>
      </c>
      <c r="D222" t="s">
        <v>24</v>
      </c>
      <c r="E222">
        <v>2.2000000000000002</v>
      </c>
      <c r="F222">
        <v>2</v>
      </c>
      <c r="G222">
        <v>12.16</v>
      </c>
      <c r="H222">
        <f t="shared" si="14"/>
        <v>1</v>
      </c>
      <c r="I222">
        <f t="shared" si="15"/>
        <v>1</v>
      </c>
      <c r="J222">
        <f t="shared" si="13"/>
        <v>4</v>
      </c>
      <c r="K222">
        <f t="shared" si="16"/>
        <v>2</v>
      </c>
    </row>
    <row r="223" spans="1:11">
      <c r="A223" t="s">
        <v>7</v>
      </c>
      <c r="B223" t="s">
        <v>22</v>
      </c>
      <c r="C223" t="s">
        <v>25</v>
      </c>
      <c r="D223" t="s">
        <v>24</v>
      </c>
      <c r="E223">
        <v>3.48</v>
      </c>
      <c r="F223">
        <v>2</v>
      </c>
      <c r="G223">
        <v>13.42</v>
      </c>
      <c r="H223">
        <f t="shared" si="14"/>
        <v>2</v>
      </c>
      <c r="I223">
        <f t="shared" si="15"/>
        <v>1</v>
      </c>
      <c r="J223">
        <f t="shared" si="13"/>
        <v>4</v>
      </c>
      <c r="K223">
        <f t="shared" si="16"/>
        <v>2</v>
      </c>
    </row>
    <row r="224" spans="1:11">
      <c r="A224" t="s">
        <v>11</v>
      </c>
      <c r="B224" t="s">
        <v>22</v>
      </c>
      <c r="C224" t="s">
        <v>25</v>
      </c>
      <c r="D224" t="s">
        <v>24</v>
      </c>
      <c r="E224">
        <v>1.92</v>
      </c>
      <c r="F224">
        <v>1</v>
      </c>
      <c r="G224">
        <v>8.58</v>
      </c>
      <c r="H224">
        <f t="shared" si="14"/>
        <v>1</v>
      </c>
      <c r="I224">
        <f t="shared" si="15"/>
        <v>1</v>
      </c>
      <c r="J224">
        <f t="shared" si="13"/>
        <v>4</v>
      </c>
      <c r="K224">
        <f t="shared" si="16"/>
        <v>2</v>
      </c>
    </row>
    <row r="225" spans="1:11">
      <c r="A225" t="s">
        <v>7</v>
      </c>
      <c r="B225" t="s">
        <v>8</v>
      </c>
      <c r="C225" t="s">
        <v>25</v>
      </c>
      <c r="D225" t="s">
        <v>24</v>
      </c>
      <c r="E225">
        <v>3</v>
      </c>
      <c r="F225">
        <v>3</v>
      </c>
      <c r="G225">
        <v>15.98</v>
      </c>
      <c r="H225">
        <f t="shared" si="14"/>
        <v>2</v>
      </c>
      <c r="I225">
        <f t="shared" si="15"/>
        <v>2</v>
      </c>
      <c r="J225">
        <f t="shared" si="13"/>
        <v>4</v>
      </c>
      <c r="K225">
        <f t="shared" si="16"/>
        <v>2</v>
      </c>
    </row>
    <row r="226" spans="1:11">
      <c r="A226" t="s">
        <v>11</v>
      </c>
      <c r="B226" t="s">
        <v>22</v>
      </c>
      <c r="C226" t="s">
        <v>25</v>
      </c>
      <c r="D226" t="s">
        <v>24</v>
      </c>
      <c r="E226">
        <v>1.58</v>
      </c>
      <c r="F226">
        <v>2</v>
      </c>
      <c r="G226">
        <v>13.42</v>
      </c>
      <c r="H226">
        <f t="shared" si="14"/>
        <v>1</v>
      </c>
      <c r="I226">
        <f t="shared" si="15"/>
        <v>1</v>
      </c>
      <c r="J226">
        <f t="shared" si="13"/>
        <v>4</v>
      </c>
      <c r="K226">
        <f t="shared" si="16"/>
        <v>2</v>
      </c>
    </row>
    <row r="227" spans="1:11">
      <c r="A227" t="s">
        <v>7</v>
      </c>
      <c r="B227" t="s">
        <v>22</v>
      </c>
      <c r="C227" t="s">
        <v>25</v>
      </c>
      <c r="D227" t="s">
        <v>24</v>
      </c>
      <c r="E227">
        <v>2.5</v>
      </c>
      <c r="F227">
        <v>2</v>
      </c>
      <c r="G227">
        <v>16.27</v>
      </c>
      <c r="H227">
        <f t="shared" si="14"/>
        <v>2</v>
      </c>
      <c r="I227">
        <f t="shared" si="15"/>
        <v>1</v>
      </c>
      <c r="J227">
        <f t="shared" si="13"/>
        <v>4</v>
      </c>
      <c r="K227">
        <f t="shared" si="16"/>
        <v>2</v>
      </c>
    </row>
    <row r="228" spans="1:11">
      <c r="A228" t="s">
        <v>7</v>
      </c>
      <c r="B228" t="s">
        <v>22</v>
      </c>
      <c r="C228" t="s">
        <v>25</v>
      </c>
      <c r="D228" t="s">
        <v>24</v>
      </c>
      <c r="E228">
        <v>2</v>
      </c>
      <c r="F228">
        <v>2</v>
      </c>
      <c r="G228">
        <v>10.09</v>
      </c>
      <c r="H228">
        <f t="shared" si="14"/>
        <v>2</v>
      </c>
      <c r="I228">
        <f t="shared" si="15"/>
        <v>1</v>
      </c>
      <c r="J228">
        <f t="shared" si="13"/>
        <v>4</v>
      </c>
      <c r="K228">
        <f t="shared" si="16"/>
        <v>2</v>
      </c>
    </row>
    <row r="229" spans="1:11">
      <c r="A229" t="s">
        <v>11</v>
      </c>
      <c r="B229" t="s">
        <v>8</v>
      </c>
      <c r="C229" t="s">
        <v>21</v>
      </c>
      <c r="D229" t="s">
        <v>10</v>
      </c>
      <c r="E229">
        <v>3</v>
      </c>
      <c r="F229">
        <v>4</v>
      </c>
      <c r="G229">
        <v>20.45</v>
      </c>
      <c r="H229">
        <f t="shared" si="14"/>
        <v>1</v>
      </c>
      <c r="I229">
        <f t="shared" si="15"/>
        <v>2</v>
      </c>
      <c r="J229">
        <f t="shared" si="13"/>
        <v>2</v>
      </c>
      <c r="K229">
        <f t="shared" si="16"/>
        <v>1</v>
      </c>
    </row>
    <row r="230" spans="1:11">
      <c r="A230" t="s">
        <v>11</v>
      </c>
      <c r="B230" t="s">
        <v>8</v>
      </c>
      <c r="C230" t="s">
        <v>21</v>
      </c>
      <c r="D230" t="s">
        <v>10</v>
      </c>
      <c r="E230">
        <v>2.72</v>
      </c>
      <c r="F230">
        <v>2</v>
      </c>
      <c r="G230">
        <v>13.28</v>
      </c>
      <c r="H230">
        <f t="shared" si="14"/>
        <v>1</v>
      </c>
      <c r="I230">
        <f t="shared" si="15"/>
        <v>2</v>
      </c>
      <c r="J230">
        <f t="shared" si="13"/>
        <v>2</v>
      </c>
      <c r="K230">
        <f t="shared" si="16"/>
        <v>1</v>
      </c>
    </row>
    <row r="231" spans="1:11">
      <c r="A231" t="s">
        <v>7</v>
      </c>
      <c r="B231" t="s">
        <v>22</v>
      </c>
      <c r="C231" t="s">
        <v>21</v>
      </c>
      <c r="D231" t="s">
        <v>10</v>
      </c>
      <c r="E231">
        <v>2.88</v>
      </c>
      <c r="F231">
        <v>2</v>
      </c>
      <c r="G231">
        <v>22.12</v>
      </c>
      <c r="H231">
        <f t="shared" si="14"/>
        <v>2</v>
      </c>
      <c r="I231">
        <f t="shared" si="15"/>
        <v>1</v>
      </c>
      <c r="J231">
        <f t="shared" si="13"/>
        <v>2</v>
      </c>
      <c r="K231">
        <f t="shared" si="16"/>
        <v>1</v>
      </c>
    </row>
    <row r="232" spans="1:11">
      <c r="A232" t="s">
        <v>11</v>
      </c>
      <c r="B232" t="s">
        <v>22</v>
      </c>
      <c r="C232" t="s">
        <v>21</v>
      </c>
      <c r="D232" t="s">
        <v>10</v>
      </c>
      <c r="E232">
        <v>2</v>
      </c>
      <c r="F232">
        <v>4</v>
      </c>
      <c r="G232">
        <v>24.01</v>
      </c>
      <c r="H232">
        <f t="shared" si="14"/>
        <v>1</v>
      </c>
      <c r="I232">
        <f t="shared" si="15"/>
        <v>1</v>
      </c>
      <c r="J232">
        <f t="shared" si="13"/>
        <v>2</v>
      </c>
      <c r="K232">
        <f t="shared" si="16"/>
        <v>1</v>
      </c>
    </row>
    <row r="233" spans="1:11">
      <c r="A233" t="s">
        <v>11</v>
      </c>
      <c r="B233" t="s">
        <v>22</v>
      </c>
      <c r="C233" t="s">
        <v>21</v>
      </c>
      <c r="D233" t="s">
        <v>10</v>
      </c>
      <c r="E233">
        <v>3</v>
      </c>
      <c r="F233">
        <v>3</v>
      </c>
      <c r="G233">
        <v>15.69</v>
      </c>
      <c r="H233">
        <f t="shared" si="14"/>
        <v>1</v>
      </c>
      <c r="I233">
        <f t="shared" si="15"/>
        <v>1</v>
      </c>
      <c r="J233">
        <f t="shared" si="13"/>
        <v>2</v>
      </c>
      <c r="K233">
        <f t="shared" si="16"/>
        <v>1</v>
      </c>
    </row>
    <row r="234" spans="1:11">
      <c r="A234" t="s">
        <v>11</v>
      </c>
      <c r="B234" t="s">
        <v>8</v>
      </c>
      <c r="C234" t="s">
        <v>21</v>
      </c>
      <c r="D234" t="s">
        <v>10</v>
      </c>
      <c r="E234">
        <v>3.39</v>
      </c>
      <c r="F234">
        <v>2</v>
      </c>
      <c r="G234">
        <v>11.61</v>
      </c>
      <c r="H234">
        <f t="shared" si="14"/>
        <v>1</v>
      </c>
      <c r="I234">
        <f t="shared" si="15"/>
        <v>2</v>
      </c>
      <c r="J234">
        <f t="shared" si="13"/>
        <v>2</v>
      </c>
      <c r="K234">
        <f t="shared" si="16"/>
        <v>1</v>
      </c>
    </row>
    <row r="235" spans="1:11">
      <c r="A235" t="s">
        <v>11</v>
      </c>
      <c r="B235" t="s">
        <v>8</v>
      </c>
      <c r="C235" t="s">
        <v>21</v>
      </c>
      <c r="D235" t="s">
        <v>10</v>
      </c>
      <c r="E235">
        <v>1.47</v>
      </c>
      <c r="F235">
        <v>2</v>
      </c>
      <c r="G235">
        <v>10.77</v>
      </c>
      <c r="H235">
        <f t="shared" si="14"/>
        <v>1</v>
      </c>
      <c r="I235">
        <f t="shared" si="15"/>
        <v>2</v>
      </c>
      <c r="J235">
        <f t="shared" si="13"/>
        <v>2</v>
      </c>
      <c r="K235">
        <f t="shared" si="16"/>
        <v>1</v>
      </c>
    </row>
    <row r="236" spans="1:11">
      <c r="A236" t="s">
        <v>11</v>
      </c>
      <c r="B236" t="s">
        <v>22</v>
      </c>
      <c r="C236" t="s">
        <v>21</v>
      </c>
      <c r="D236" t="s">
        <v>10</v>
      </c>
      <c r="E236">
        <v>3</v>
      </c>
      <c r="F236">
        <v>2</v>
      </c>
      <c r="G236">
        <v>15.53</v>
      </c>
      <c r="H236">
        <f t="shared" si="14"/>
        <v>1</v>
      </c>
      <c r="I236">
        <f t="shared" si="15"/>
        <v>1</v>
      </c>
      <c r="J236">
        <f t="shared" si="13"/>
        <v>2</v>
      </c>
      <c r="K236">
        <f t="shared" si="16"/>
        <v>1</v>
      </c>
    </row>
    <row r="237" spans="1:11">
      <c r="A237" t="s">
        <v>11</v>
      </c>
      <c r="B237" t="s">
        <v>8</v>
      </c>
      <c r="C237" t="s">
        <v>21</v>
      </c>
      <c r="D237" t="s">
        <v>10</v>
      </c>
      <c r="E237">
        <v>1.25</v>
      </c>
      <c r="F237">
        <v>2</v>
      </c>
      <c r="G237">
        <v>10.07</v>
      </c>
      <c r="H237">
        <f t="shared" si="14"/>
        <v>1</v>
      </c>
      <c r="I237">
        <f t="shared" si="15"/>
        <v>2</v>
      </c>
      <c r="J237">
        <f t="shared" si="13"/>
        <v>2</v>
      </c>
      <c r="K237">
        <f t="shared" si="16"/>
        <v>1</v>
      </c>
    </row>
    <row r="238" spans="1:11">
      <c r="A238" t="s">
        <v>11</v>
      </c>
      <c r="B238" t="s">
        <v>22</v>
      </c>
      <c r="C238" t="s">
        <v>21</v>
      </c>
      <c r="D238" t="s">
        <v>10</v>
      </c>
      <c r="E238">
        <v>1</v>
      </c>
      <c r="F238">
        <v>2</v>
      </c>
      <c r="G238">
        <v>12.6</v>
      </c>
      <c r="H238">
        <f t="shared" si="14"/>
        <v>1</v>
      </c>
      <c r="I238">
        <f t="shared" si="15"/>
        <v>1</v>
      </c>
      <c r="J238">
        <f t="shared" si="13"/>
        <v>2</v>
      </c>
      <c r="K238">
        <f t="shared" si="16"/>
        <v>1</v>
      </c>
    </row>
    <row r="239" spans="1:11">
      <c r="A239" t="s">
        <v>11</v>
      </c>
      <c r="B239" t="s">
        <v>22</v>
      </c>
      <c r="C239" t="s">
        <v>21</v>
      </c>
      <c r="D239" t="s">
        <v>10</v>
      </c>
      <c r="E239">
        <v>1.17</v>
      </c>
      <c r="F239">
        <v>2</v>
      </c>
      <c r="G239">
        <v>32.83</v>
      </c>
      <c r="H239">
        <f t="shared" si="14"/>
        <v>1</v>
      </c>
      <c r="I239">
        <f t="shared" si="15"/>
        <v>1</v>
      </c>
      <c r="J239">
        <f t="shared" si="13"/>
        <v>2</v>
      </c>
      <c r="K239">
        <f t="shared" si="16"/>
        <v>1</v>
      </c>
    </row>
    <row r="240" spans="1:11">
      <c r="A240" t="s">
        <v>7</v>
      </c>
      <c r="B240" t="s">
        <v>8</v>
      </c>
      <c r="C240" t="s">
        <v>21</v>
      </c>
      <c r="D240" t="s">
        <v>10</v>
      </c>
      <c r="E240">
        <v>4.67</v>
      </c>
      <c r="F240">
        <v>3</v>
      </c>
      <c r="G240">
        <v>35.83</v>
      </c>
      <c r="H240">
        <f t="shared" si="14"/>
        <v>2</v>
      </c>
      <c r="I240">
        <f t="shared" si="15"/>
        <v>2</v>
      </c>
      <c r="J240">
        <f t="shared" si="13"/>
        <v>2</v>
      </c>
      <c r="K240">
        <f t="shared" si="16"/>
        <v>1</v>
      </c>
    </row>
    <row r="241" spans="1:11">
      <c r="A241" t="s">
        <v>11</v>
      </c>
      <c r="B241" t="s">
        <v>8</v>
      </c>
      <c r="C241" t="s">
        <v>21</v>
      </c>
      <c r="D241" t="s">
        <v>10</v>
      </c>
      <c r="E241">
        <v>5.92</v>
      </c>
      <c r="F241">
        <v>3</v>
      </c>
      <c r="G241">
        <v>29.03</v>
      </c>
      <c r="H241">
        <f t="shared" si="14"/>
        <v>1</v>
      </c>
      <c r="I241">
        <f t="shared" si="15"/>
        <v>2</v>
      </c>
      <c r="J241">
        <f t="shared" si="13"/>
        <v>2</v>
      </c>
      <c r="K241">
        <f t="shared" si="16"/>
        <v>1</v>
      </c>
    </row>
    <row r="242" spans="1:11">
      <c r="A242" t="s">
        <v>7</v>
      </c>
      <c r="B242" t="s">
        <v>22</v>
      </c>
      <c r="C242" t="s">
        <v>21</v>
      </c>
      <c r="D242" t="s">
        <v>10</v>
      </c>
      <c r="E242">
        <v>2</v>
      </c>
      <c r="F242">
        <v>2</v>
      </c>
      <c r="G242">
        <v>27.18</v>
      </c>
      <c r="H242">
        <f t="shared" si="14"/>
        <v>2</v>
      </c>
      <c r="I242">
        <f t="shared" si="15"/>
        <v>1</v>
      </c>
      <c r="J242">
        <f t="shared" si="13"/>
        <v>2</v>
      </c>
      <c r="K242">
        <f t="shared" si="16"/>
        <v>1</v>
      </c>
    </row>
    <row r="243" spans="1:11">
      <c r="A243" t="s">
        <v>11</v>
      </c>
      <c r="B243" t="s">
        <v>22</v>
      </c>
      <c r="C243" t="s">
        <v>21</v>
      </c>
      <c r="D243" t="s">
        <v>10</v>
      </c>
      <c r="E243">
        <v>2</v>
      </c>
      <c r="F243">
        <v>2</v>
      </c>
      <c r="G243">
        <v>22.67</v>
      </c>
      <c r="H243">
        <f t="shared" si="14"/>
        <v>1</v>
      </c>
      <c r="I243">
        <f t="shared" si="15"/>
        <v>1</v>
      </c>
      <c r="J243">
        <f t="shared" si="13"/>
        <v>2</v>
      </c>
      <c r="K243">
        <f t="shared" si="16"/>
        <v>1</v>
      </c>
    </row>
    <row r="244" spans="1:11">
      <c r="A244" t="s">
        <v>11</v>
      </c>
      <c r="B244" t="s">
        <v>8</v>
      </c>
      <c r="C244" t="s">
        <v>21</v>
      </c>
      <c r="D244" t="s">
        <v>10</v>
      </c>
      <c r="E244">
        <v>1.75</v>
      </c>
      <c r="F244">
        <v>2</v>
      </c>
      <c r="G244">
        <v>17.82</v>
      </c>
      <c r="H244">
        <f t="shared" si="14"/>
        <v>1</v>
      </c>
      <c r="I244">
        <f t="shared" si="15"/>
        <v>2</v>
      </c>
      <c r="J244">
        <f t="shared" si="13"/>
        <v>2</v>
      </c>
      <c r="K244">
        <f t="shared" si="16"/>
        <v>1</v>
      </c>
    </row>
    <row r="245" spans="1:11">
      <c r="A245" t="s">
        <v>7</v>
      </c>
      <c r="B245" t="s">
        <v>8</v>
      </c>
      <c r="C245" t="s">
        <v>23</v>
      </c>
      <c r="D245" t="s">
        <v>10</v>
      </c>
      <c r="E245">
        <v>3</v>
      </c>
      <c r="F245">
        <v>2</v>
      </c>
      <c r="G245">
        <v>18.78</v>
      </c>
      <c r="H245">
        <f t="shared" si="14"/>
        <v>2</v>
      </c>
      <c r="I245">
        <f t="shared" si="15"/>
        <v>2</v>
      </c>
      <c r="J245">
        <f t="shared" si="13"/>
        <v>3</v>
      </c>
      <c r="K245">
        <f t="shared" si="16"/>
        <v>1</v>
      </c>
    </row>
  </sheetData>
  <conditionalFormatting sqref="Q3:X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B877-B90B-4D4D-8606-622239D83ED6}">
  <dimension ref="A1:AV247"/>
  <sheetViews>
    <sheetView topLeftCell="AC24" workbookViewId="0">
      <selection activeCell="AA26" sqref="AA26"/>
    </sheetView>
  </sheetViews>
  <sheetFormatPr defaultRowHeight="15"/>
  <cols>
    <col min="1" max="1" width="13.140625" bestFit="1" customWidth="1"/>
    <col min="2" max="2" width="10" bestFit="1" customWidth="1"/>
    <col min="6" max="6" width="13.140625" bestFit="1" customWidth="1"/>
    <col min="7" max="7" width="10" bestFit="1" customWidth="1"/>
    <col min="8" max="8" width="7" bestFit="1" customWidth="1"/>
    <col min="9" max="9" width="11.28515625" bestFit="1" customWidth="1"/>
    <col min="19" max="19" width="10.5703125" customWidth="1"/>
    <col min="27" max="27" width="11.5703125" bestFit="1" customWidth="1"/>
    <col min="39" max="39" width="11.5703125" bestFit="1" customWidth="1"/>
  </cols>
  <sheetData>
    <row r="1" spans="1:48" ht="27" thickBot="1">
      <c r="E1" t="s">
        <v>36</v>
      </c>
      <c r="T1" s="16" t="s">
        <v>26</v>
      </c>
      <c r="U1" s="16" t="s">
        <v>27</v>
      </c>
      <c r="V1" s="16" t="s">
        <v>28</v>
      </c>
      <c r="W1" s="16" t="s">
        <v>29</v>
      </c>
      <c r="X1" s="16" t="s">
        <v>93</v>
      </c>
      <c r="Y1" s="16" t="s">
        <v>94</v>
      </c>
      <c r="Z1" s="16" t="s">
        <v>37</v>
      </c>
      <c r="AA1" s="16" t="s">
        <v>95</v>
      </c>
      <c r="AF1" s="24" t="s">
        <v>0</v>
      </c>
      <c r="AG1" s="25" t="s">
        <v>1</v>
      </c>
      <c r="AH1" s="25" t="s">
        <v>2</v>
      </c>
      <c r="AI1" s="25" t="s">
        <v>3</v>
      </c>
      <c r="AJ1" s="25" t="s">
        <v>4</v>
      </c>
      <c r="AK1" s="25" t="s">
        <v>5</v>
      </c>
      <c r="AL1" s="25" t="s">
        <v>37</v>
      </c>
      <c r="AM1" s="24" t="s">
        <v>95</v>
      </c>
    </row>
    <row r="2" spans="1:48" ht="15.75" thickBot="1">
      <c r="K2" s="17"/>
      <c r="L2" s="17" t="s">
        <v>37</v>
      </c>
      <c r="M2" s="17" t="s">
        <v>4</v>
      </c>
      <c r="N2" s="17" t="s">
        <v>5</v>
      </c>
      <c r="O2" s="17" t="s">
        <v>30</v>
      </c>
      <c r="P2" s="17" t="s">
        <v>31</v>
      </c>
      <c r="Q2" s="17" t="s">
        <v>32</v>
      </c>
      <c r="R2" s="17" t="s">
        <v>10</v>
      </c>
      <c r="T2" s="5">
        <v>2</v>
      </c>
      <c r="U2" s="5">
        <v>2</v>
      </c>
      <c r="V2" s="5">
        <v>1</v>
      </c>
      <c r="W2" s="6">
        <v>1</v>
      </c>
      <c r="X2" s="5">
        <v>2</v>
      </c>
      <c r="Y2" s="5">
        <v>16.989999999999998</v>
      </c>
      <c r="Z2" s="5">
        <v>1.01</v>
      </c>
      <c r="AA2" s="16">
        <f xml:space="preserve"> $L$27+ $T2*($L$30) - $U2*($L$31) + $V2*($L$32) - $W2*($L$33) + $X2*($L$28) + $Y2*($L$29)</f>
        <v>2.3541617400965031</v>
      </c>
      <c r="AB2" s="5">
        <v>1.01</v>
      </c>
      <c r="AF2" s="22" t="s">
        <v>7</v>
      </c>
      <c r="AG2" s="5" t="s">
        <v>8</v>
      </c>
      <c r="AH2" s="5" t="s">
        <v>9</v>
      </c>
      <c r="AI2" s="5" t="s">
        <v>10</v>
      </c>
      <c r="AJ2" s="5">
        <v>2</v>
      </c>
      <c r="AK2" s="5">
        <v>16.989999999999998</v>
      </c>
      <c r="AL2" s="5">
        <v>1.01</v>
      </c>
      <c r="AM2" s="5">
        <f xml:space="preserve"> $L$27+ $T2*($L$30) - $U2*($L$31) + $V2*($L$32) - $W2*($L$33) + $X2*($L$28) + $Y2*($L$29)</f>
        <v>2.3541617400965031</v>
      </c>
    </row>
    <row r="3" spans="1:48" ht="15.75" thickBot="1">
      <c r="A3" s="2" t="s">
        <v>34</v>
      </c>
      <c r="B3" t="s">
        <v>33</v>
      </c>
      <c r="F3" s="2" t="s">
        <v>34</v>
      </c>
      <c r="G3" t="s">
        <v>33</v>
      </c>
      <c r="K3" s="18" t="s">
        <v>37</v>
      </c>
      <c r="L3">
        <v>1</v>
      </c>
      <c r="T3" s="5">
        <v>1</v>
      </c>
      <c r="U3" s="5">
        <v>2</v>
      </c>
      <c r="V3" s="5">
        <v>1</v>
      </c>
      <c r="W3" s="6">
        <v>1</v>
      </c>
      <c r="X3" s="5">
        <v>3</v>
      </c>
      <c r="Y3" s="5">
        <v>10.34</v>
      </c>
      <c r="Z3" s="5">
        <v>1.66</v>
      </c>
      <c r="AA3" s="16">
        <f t="shared" ref="AA3:AA66" si="0" xml:space="preserve"> $L$27+ $T3*($L$30) - $U3*($L$31) + $V3*($L$32) - $W3*($L$33) + $X3*($L$28) + $Y3*($L$29)</f>
        <v>1.8787073369915182</v>
      </c>
      <c r="AB3" s="5">
        <v>1.66</v>
      </c>
      <c r="AF3" s="22" t="s">
        <v>11</v>
      </c>
      <c r="AG3" s="5" t="s">
        <v>8</v>
      </c>
      <c r="AH3" s="5" t="s">
        <v>9</v>
      </c>
      <c r="AI3" s="5" t="s">
        <v>10</v>
      </c>
      <c r="AJ3" s="5">
        <v>3</v>
      </c>
      <c r="AK3" s="5">
        <v>10.34</v>
      </c>
      <c r="AL3" s="5">
        <v>1.66</v>
      </c>
      <c r="AM3" s="5">
        <f t="shared" ref="AM3:AM66" si="1" xml:space="preserve"> $L$27+ $T3*($L$30) - $U3*($L$31) + $V3*($L$32) - $W3*($L$33) + $X3*($L$28) + $Y3*($L$29)</f>
        <v>1.8787073369915182</v>
      </c>
    </row>
    <row r="4" spans="1:48" ht="15.75" thickBot="1">
      <c r="A4" s="3" t="s">
        <v>7</v>
      </c>
      <c r="B4">
        <v>246.51</v>
      </c>
      <c r="F4" s="3" t="s">
        <v>7</v>
      </c>
      <c r="G4">
        <v>246.51</v>
      </c>
      <c r="K4" s="18" t="s">
        <v>4</v>
      </c>
      <c r="L4">
        <v>0.48929877523035786</v>
      </c>
      <c r="M4">
        <v>1</v>
      </c>
      <c r="T4" s="5">
        <v>1</v>
      </c>
      <c r="U4" s="5">
        <v>2</v>
      </c>
      <c r="V4" s="5">
        <v>1</v>
      </c>
      <c r="W4" s="6">
        <v>1</v>
      </c>
      <c r="X4" s="5">
        <v>3</v>
      </c>
      <c r="Y4" s="5">
        <v>21.01</v>
      </c>
      <c r="Z4" s="5">
        <v>3.5</v>
      </c>
      <c r="AA4" s="16">
        <f t="shared" si="0"/>
        <v>2.8824977516015924</v>
      </c>
      <c r="AB4" s="5">
        <v>3.5</v>
      </c>
      <c r="AF4" s="22" t="s">
        <v>11</v>
      </c>
      <c r="AG4" s="5" t="s">
        <v>8</v>
      </c>
      <c r="AH4" s="5" t="s">
        <v>9</v>
      </c>
      <c r="AI4" s="5" t="s">
        <v>10</v>
      </c>
      <c r="AJ4" s="5">
        <v>3</v>
      </c>
      <c r="AK4" s="5">
        <v>21.01</v>
      </c>
      <c r="AL4" s="5">
        <v>3.5</v>
      </c>
      <c r="AM4" s="5">
        <f t="shared" si="1"/>
        <v>2.8824977516015924</v>
      </c>
    </row>
    <row r="5" spans="1:48" ht="15.75" thickBot="1">
      <c r="A5" s="3" t="s">
        <v>11</v>
      </c>
      <c r="B5">
        <v>485.07000000000011</v>
      </c>
      <c r="F5" s="4" t="s">
        <v>10</v>
      </c>
      <c r="G5">
        <v>156.10999999999999</v>
      </c>
      <c r="K5" s="18" t="s">
        <v>5</v>
      </c>
      <c r="L5">
        <v>0.67573410921136434</v>
      </c>
      <c r="M5">
        <v>0.59831513090490263</v>
      </c>
      <c r="N5">
        <v>1</v>
      </c>
      <c r="T5" s="5">
        <v>1</v>
      </c>
      <c r="U5" s="5">
        <v>2</v>
      </c>
      <c r="V5" s="5">
        <v>1</v>
      </c>
      <c r="W5" s="6">
        <v>1</v>
      </c>
      <c r="X5" s="5">
        <v>2</v>
      </c>
      <c r="Y5" s="5">
        <v>23.68</v>
      </c>
      <c r="Z5" s="5">
        <v>3.31</v>
      </c>
      <c r="AA5" s="16">
        <f t="shared" si="0"/>
        <v>2.9543137798833374</v>
      </c>
      <c r="AB5" s="5">
        <v>3.31</v>
      </c>
      <c r="AF5" s="22" t="s">
        <v>11</v>
      </c>
      <c r="AG5" s="5" t="s">
        <v>8</v>
      </c>
      <c r="AH5" s="5" t="s">
        <v>9</v>
      </c>
      <c r="AI5" s="5" t="s">
        <v>10</v>
      </c>
      <c r="AJ5" s="5">
        <v>2</v>
      </c>
      <c r="AK5" s="5">
        <v>23.68</v>
      </c>
      <c r="AL5" s="5">
        <v>3.31</v>
      </c>
      <c r="AM5" s="5">
        <f t="shared" si="1"/>
        <v>2.9543137798833374</v>
      </c>
    </row>
    <row r="6" spans="1:48" ht="15.75" thickBot="1">
      <c r="A6" s="3" t="s">
        <v>35</v>
      </c>
      <c r="B6">
        <v>731.58000000000015</v>
      </c>
      <c r="F6" s="4" t="s">
        <v>24</v>
      </c>
      <c r="G6">
        <v>90.40000000000002</v>
      </c>
      <c r="K6" s="18" t="s">
        <v>30</v>
      </c>
      <c r="L6">
        <v>-8.8862061090736341E-2</v>
      </c>
      <c r="M6">
        <v>-8.6194815382524506E-2</v>
      </c>
      <c r="N6">
        <v>-0.14487733703816522</v>
      </c>
      <c r="O6">
        <v>1</v>
      </c>
      <c r="T6" s="5">
        <v>2</v>
      </c>
      <c r="U6" s="5">
        <v>2</v>
      </c>
      <c r="V6" s="5">
        <v>1</v>
      </c>
      <c r="W6" s="6">
        <v>1</v>
      </c>
      <c r="X6" s="5">
        <v>4</v>
      </c>
      <c r="Y6" s="5">
        <v>24.59</v>
      </c>
      <c r="Z6" s="5">
        <v>3.61</v>
      </c>
      <c r="AA6" s="16">
        <f t="shared" si="0"/>
        <v>3.4278725106233932</v>
      </c>
      <c r="AB6" s="5">
        <v>3.61</v>
      </c>
      <c r="AF6" s="22" t="s">
        <v>7</v>
      </c>
      <c r="AG6" s="5" t="s">
        <v>8</v>
      </c>
      <c r="AH6" s="5" t="s">
        <v>9</v>
      </c>
      <c r="AI6" s="5" t="s">
        <v>10</v>
      </c>
      <c r="AJ6" s="5">
        <v>4</v>
      </c>
      <c r="AK6" s="5">
        <v>24.59</v>
      </c>
      <c r="AL6" s="5">
        <v>3.61</v>
      </c>
      <c r="AM6" s="5">
        <f t="shared" si="1"/>
        <v>3.4278725106233932</v>
      </c>
      <c r="AV6">
        <v>0</v>
      </c>
    </row>
    <row r="7" spans="1:48" ht="15.75" thickBot="1">
      <c r="F7" s="3" t="s">
        <v>11</v>
      </c>
      <c r="G7">
        <v>485.07000000000005</v>
      </c>
      <c r="K7" s="18" t="s">
        <v>31</v>
      </c>
      <c r="L7">
        <v>-5.9285395278066162E-3</v>
      </c>
      <c r="M7">
        <v>0.13317824602877759</v>
      </c>
      <c r="N7">
        <v>-8.5721257322847813E-2</v>
      </c>
      <c r="O7">
        <v>2.8159517336962246E-3</v>
      </c>
      <c r="P7">
        <v>1</v>
      </c>
      <c r="T7" s="5">
        <v>1</v>
      </c>
      <c r="U7" s="5">
        <v>2</v>
      </c>
      <c r="V7" s="5">
        <v>1</v>
      </c>
      <c r="W7" s="6">
        <v>1</v>
      </c>
      <c r="X7" s="5">
        <v>4</v>
      </c>
      <c r="Y7" s="5">
        <v>25.29</v>
      </c>
      <c r="Z7" s="5">
        <v>4.71</v>
      </c>
      <c r="AA7" s="16">
        <f t="shared" si="0"/>
        <v>3.4645095941295949</v>
      </c>
      <c r="AB7" s="5">
        <v>4.71</v>
      </c>
      <c r="AF7" s="22" t="s">
        <v>11</v>
      </c>
      <c r="AG7" s="5" t="s">
        <v>8</v>
      </c>
      <c r="AH7" s="5" t="s">
        <v>9</v>
      </c>
      <c r="AI7" s="5" t="s">
        <v>10</v>
      </c>
      <c r="AJ7" s="5">
        <v>4</v>
      </c>
      <c r="AK7" s="5">
        <v>25.29</v>
      </c>
      <c r="AL7" s="5">
        <v>4.71</v>
      </c>
      <c r="AM7" s="5">
        <f t="shared" si="1"/>
        <v>3.4645095941295949</v>
      </c>
    </row>
    <row r="8" spans="1:48" ht="15.75" thickBot="1">
      <c r="F8" s="4" t="s">
        <v>10</v>
      </c>
      <c r="G8">
        <v>389.96000000000004</v>
      </c>
      <c r="K8" s="18" t="s">
        <v>32</v>
      </c>
      <c r="L8">
        <v>-0.13894711856743439</v>
      </c>
      <c r="M8">
        <v>-0.2117502072850479</v>
      </c>
      <c r="N8">
        <v>-0.17531196879448163</v>
      </c>
      <c r="O8">
        <v>0.21537409198654681</v>
      </c>
      <c r="P8">
        <v>-0.17081844613899894</v>
      </c>
      <c r="Q8">
        <v>1</v>
      </c>
      <c r="T8" s="5">
        <v>1</v>
      </c>
      <c r="U8" s="5">
        <v>2</v>
      </c>
      <c r="V8" s="5">
        <v>1</v>
      </c>
      <c r="W8" s="6">
        <v>1</v>
      </c>
      <c r="X8" s="5">
        <v>2</v>
      </c>
      <c r="Y8" s="5">
        <v>8.77</v>
      </c>
      <c r="Z8" s="5">
        <v>2</v>
      </c>
      <c r="AA8" s="16">
        <f t="shared" si="0"/>
        <v>1.5516413261029998</v>
      </c>
      <c r="AB8" s="5">
        <v>2</v>
      </c>
      <c r="AF8" s="22" t="s">
        <v>11</v>
      </c>
      <c r="AG8" s="5" t="s">
        <v>8</v>
      </c>
      <c r="AH8" s="5" t="s">
        <v>9</v>
      </c>
      <c r="AI8" s="5" t="s">
        <v>10</v>
      </c>
      <c r="AJ8" s="5">
        <v>2</v>
      </c>
      <c r="AK8" s="5">
        <v>8.77</v>
      </c>
      <c r="AL8" s="5">
        <v>2</v>
      </c>
      <c r="AM8" s="5">
        <f t="shared" si="1"/>
        <v>1.5516413261029998</v>
      </c>
    </row>
    <row r="9" spans="1:48" ht="15.75" thickBot="1">
      <c r="F9" s="4" t="s">
        <v>24</v>
      </c>
      <c r="G9">
        <v>95.11</v>
      </c>
      <c r="K9" s="19" t="s">
        <v>10</v>
      </c>
      <c r="L9" s="9">
        <v>-0.12162906226028659</v>
      </c>
      <c r="M9" s="9">
        <v>-0.10341090969324034</v>
      </c>
      <c r="N9" s="9">
        <v>-0.18311760533651472</v>
      </c>
      <c r="O9" s="9">
        <v>0.20523129613344498</v>
      </c>
      <c r="P9" s="9">
        <v>5.492110359570699E-2</v>
      </c>
      <c r="Q9" s="9">
        <v>0.67047036201743682</v>
      </c>
      <c r="R9" s="9">
        <v>1</v>
      </c>
      <c r="T9" s="5">
        <v>1</v>
      </c>
      <c r="U9" s="5">
        <v>2</v>
      </c>
      <c r="V9" s="5">
        <v>1</v>
      </c>
      <c r="W9" s="6">
        <v>1</v>
      </c>
      <c r="X9" s="5">
        <v>4</v>
      </c>
      <c r="Y9" s="5">
        <v>26.88</v>
      </c>
      <c r="Z9" s="5">
        <v>3.12</v>
      </c>
      <c r="AA9" s="16">
        <f t="shared" si="0"/>
        <v>3.6140903588184443</v>
      </c>
      <c r="AB9" s="5">
        <v>3.12</v>
      </c>
      <c r="AF9" s="22" t="s">
        <v>11</v>
      </c>
      <c r="AG9" s="5" t="s">
        <v>8</v>
      </c>
      <c r="AH9" s="5" t="s">
        <v>9</v>
      </c>
      <c r="AI9" s="5" t="s">
        <v>10</v>
      </c>
      <c r="AJ9" s="5">
        <v>4</v>
      </c>
      <c r="AK9" s="5">
        <v>26.88</v>
      </c>
      <c r="AL9" s="5">
        <v>3.12</v>
      </c>
      <c r="AM9" s="5">
        <f t="shared" si="1"/>
        <v>3.6140903588184443</v>
      </c>
    </row>
    <row r="10" spans="1:48" ht="15.75" thickBot="1">
      <c r="F10" s="3" t="s">
        <v>35</v>
      </c>
      <c r="G10">
        <v>731.58</v>
      </c>
      <c r="T10" s="5">
        <v>1</v>
      </c>
      <c r="U10" s="5">
        <v>2</v>
      </c>
      <c r="V10" s="5">
        <v>1</v>
      </c>
      <c r="W10" s="6">
        <v>1</v>
      </c>
      <c r="X10" s="5">
        <v>2</v>
      </c>
      <c r="Y10" s="5">
        <v>15.04</v>
      </c>
      <c r="Z10" s="5">
        <v>1.96</v>
      </c>
      <c r="AA10" s="16">
        <f t="shared" si="0"/>
        <v>2.1414975491212909</v>
      </c>
      <c r="AB10" s="5">
        <v>1.96</v>
      </c>
      <c r="AF10" s="22" t="s">
        <v>11</v>
      </c>
      <c r="AG10" s="5" t="s">
        <v>8</v>
      </c>
      <c r="AH10" s="5" t="s">
        <v>9</v>
      </c>
      <c r="AI10" s="5" t="s">
        <v>10</v>
      </c>
      <c r="AJ10" s="5">
        <v>2</v>
      </c>
      <c r="AK10" s="5">
        <v>15.04</v>
      </c>
      <c r="AL10" s="5">
        <v>1.96</v>
      </c>
      <c r="AM10" s="5">
        <f t="shared" si="1"/>
        <v>2.1414975491212909</v>
      </c>
    </row>
    <row r="11" spans="1:48" ht="15.75" thickBot="1">
      <c r="K11" t="s">
        <v>38</v>
      </c>
      <c r="T11" s="5">
        <v>1</v>
      </c>
      <c r="U11" s="5">
        <v>2</v>
      </c>
      <c r="V11" s="5">
        <v>1</v>
      </c>
      <c r="W11" s="6">
        <v>1</v>
      </c>
      <c r="X11" s="5">
        <v>2</v>
      </c>
      <c r="Y11" s="5">
        <v>14.78</v>
      </c>
      <c r="Z11" s="5">
        <v>3.23</v>
      </c>
      <c r="AA11" s="16">
        <f t="shared" si="0"/>
        <v>2.1170378014363216</v>
      </c>
      <c r="AB11" s="5">
        <v>3.23</v>
      </c>
      <c r="AF11" s="22" t="s">
        <v>11</v>
      </c>
      <c r="AG11" s="5" t="s">
        <v>8</v>
      </c>
      <c r="AH11" s="5" t="s">
        <v>9</v>
      </c>
      <c r="AI11" s="5" t="s">
        <v>10</v>
      </c>
      <c r="AJ11" s="5">
        <v>2</v>
      </c>
      <c r="AK11" s="5">
        <v>14.78</v>
      </c>
      <c r="AL11" s="5">
        <v>3.23</v>
      </c>
      <c r="AM11" s="5">
        <f t="shared" si="1"/>
        <v>2.1170378014363216</v>
      </c>
    </row>
    <row r="12" spans="1:48" ht="15.75" thickBot="1">
      <c r="T12" s="5">
        <v>1</v>
      </c>
      <c r="U12" s="5">
        <v>2</v>
      </c>
      <c r="V12" s="5">
        <v>1</v>
      </c>
      <c r="W12" s="6">
        <v>1</v>
      </c>
      <c r="X12" s="5">
        <v>2</v>
      </c>
      <c r="Y12" s="5">
        <v>10.27</v>
      </c>
      <c r="Z12" s="5">
        <v>1.71</v>
      </c>
      <c r="AA12" s="16">
        <f t="shared" si="0"/>
        <v>1.692755255054744</v>
      </c>
      <c r="AB12" s="5">
        <v>1.71</v>
      </c>
      <c r="AF12" s="22" t="s">
        <v>11</v>
      </c>
      <c r="AG12" s="5" t="s">
        <v>8</v>
      </c>
      <c r="AH12" s="5" t="s">
        <v>9</v>
      </c>
      <c r="AI12" s="5" t="s">
        <v>10</v>
      </c>
      <c r="AJ12" s="5">
        <v>2</v>
      </c>
      <c r="AK12" s="5">
        <v>10.27</v>
      </c>
      <c r="AL12" s="5">
        <v>1.71</v>
      </c>
      <c r="AM12" s="5">
        <f t="shared" si="1"/>
        <v>1.692755255054744</v>
      </c>
    </row>
    <row r="13" spans="1:48" ht="15.75" thickBot="1">
      <c r="K13" s="11" t="s">
        <v>39</v>
      </c>
      <c r="L13" s="11"/>
      <c r="T13" s="5">
        <v>2</v>
      </c>
      <c r="U13" s="5">
        <v>2</v>
      </c>
      <c r="V13" s="5">
        <v>1</v>
      </c>
      <c r="W13" s="6">
        <v>1</v>
      </c>
      <c r="X13" s="5">
        <v>4</v>
      </c>
      <c r="Y13" s="5">
        <v>35.26</v>
      </c>
      <c r="Z13" s="5">
        <v>5</v>
      </c>
      <c r="AA13" s="16">
        <f t="shared" si="0"/>
        <v>4.4316629252334669</v>
      </c>
      <c r="AB13" s="5">
        <v>5</v>
      </c>
      <c r="AF13" s="22" t="s">
        <v>7</v>
      </c>
      <c r="AG13" s="5" t="s">
        <v>8</v>
      </c>
      <c r="AH13" s="5" t="s">
        <v>9</v>
      </c>
      <c r="AI13" s="5" t="s">
        <v>10</v>
      </c>
      <c r="AJ13" s="5">
        <v>4</v>
      </c>
      <c r="AK13" s="5">
        <v>35.26</v>
      </c>
      <c r="AL13" s="5">
        <v>5</v>
      </c>
      <c r="AM13" s="5">
        <f t="shared" si="1"/>
        <v>4.4316629252334669</v>
      </c>
    </row>
    <row r="14" spans="1:48" ht="15.75" thickBot="1">
      <c r="K14" t="s">
        <v>40</v>
      </c>
      <c r="L14">
        <v>0.68467665424467128</v>
      </c>
      <c r="T14" s="5">
        <v>1</v>
      </c>
      <c r="U14" s="5">
        <v>2</v>
      </c>
      <c r="V14" s="5">
        <v>1</v>
      </c>
      <c r="W14" s="6">
        <v>1</v>
      </c>
      <c r="X14" s="5">
        <v>2</v>
      </c>
      <c r="Y14" s="5">
        <v>15.42</v>
      </c>
      <c r="Z14" s="5">
        <v>1.57</v>
      </c>
      <c r="AA14" s="16">
        <f t="shared" si="0"/>
        <v>2.1772464111223995</v>
      </c>
      <c r="AB14" s="5">
        <v>1.57</v>
      </c>
      <c r="AF14" s="22" t="s">
        <v>11</v>
      </c>
      <c r="AG14" s="5" t="s">
        <v>8</v>
      </c>
      <c r="AH14" s="5" t="s">
        <v>9</v>
      </c>
      <c r="AI14" s="5" t="s">
        <v>10</v>
      </c>
      <c r="AJ14" s="5">
        <v>2</v>
      </c>
      <c r="AK14" s="5">
        <v>15.42</v>
      </c>
      <c r="AL14" s="5">
        <v>1.57</v>
      </c>
      <c r="AM14" s="5">
        <f t="shared" si="1"/>
        <v>2.1772464111223995</v>
      </c>
    </row>
    <row r="15" spans="1:48" ht="15.75" thickBot="1">
      <c r="K15" t="s">
        <v>41</v>
      </c>
      <c r="L15">
        <v>0.46878212086767701</v>
      </c>
      <c r="T15" s="5">
        <v>1</v>
      </c>
      <c r="U15" s="5">
        <v>2</v>
      </c>
      <c r="V15" s="5">
        <v>1</v>
      </c>
      <c r="W15" s="6">
        <v>1</v>
      </c>
      <c r="X15" s="5">
        <v>4</v>
      </c>
      <c r="Y15" s="5">
        <v>18.43</v>
      </c>
      <c r="Z15" s="5">
        <v>3</v>
      </c>
      <c r="AA15" s="16">
        <f t="shared" si="0"/>
        <v>2.8191485590569512</v>
      </c>
      <c r="AB15" s="5">
        <v>3</v>
      </c>
      <c r="AF15" s="22" t="s">
        <v>11</v>
      </c>
      <c r="AG15" s="5" t="s">
        <v>8</v>
      </c>
      <c r="AH15" s="5" t="s">
        <v>9</v>
      </c>
      <c r="AI15" s="5" t="s">
        <v>10</v>
      </c>
      <c r="AJ15" s="5">
        <v>4</v>
      </c>
      <c r="AK15" s="5">
        <v>18.43</v>
      </c>
      <c r="AL15" s="5">
        <v>3</v>
      </c>
      <c r="AM15" s="5">
        <f t="shared" si="1"/>
        <v>2.8191485590569512</v>
      </c>
    </row>
    <row r="16" spans="1:48" ht="15.75" thickBot="1">
      <c r="K16" t="s">
        <v>42</v>
      </c>
      <c r="L16">
        <v>0.45533356696559307</v>
      </c>
      <c r="T16" s="5">
        <v>2</v>
      </c>
      <c r="U16" s="5">
        <v>2</v>
      </c>
      <c r="V16" s="5">
        <v>1</v>
      </c>
      <c r="W16" s="6">
        <v>1</v>
      </c>
      <c r="X16" s="5">
        <v>2</v>
      </c>
      <c r="Y16" s="5">
        <v>14.83</v>
      </c>
      <c r="Z16" s="5">
        <v>3.02</v>
      </c>
      <c r="AA16" s="16">
        <f t="shared" si="0"/>
        <v>2.1509576824059917</v>
      </c>
      <c r="AB16" s="5">
        <v>3.02</v>
      </c>
      <c r="AF16" s="22" t="s">
        <v>7</v>
      </c>
      <c r="AG16" s="5" t="s">
        <v>8</v>
      </c>
      <c r="AH16" s="5" t="s">
        <v>9</v>
      </c>
      <c r="AI16" s="5" t="s">
        <v>10</v>
      </c>
      <c r="AJ16" s="5">
        <v>2</v>
      </c>
      <c r="AK16" s="5">
        <v>14.83</v>
      </c>
      <c r="AL16" s="5">
        <v>3.02</v>
      </c>
      <c r="AM16" s="5">
        <f t="shared" si="1"/>
        <v>2.1509576824059917</v>
      </c>
    </row>
    <row r="17" spans="11:39" ht="15.75" thickBot="1">
      <c r="K17" t="s">
        <v>43</v>
      </c>
      <c r="L17">
        <v>1.02114601253673</v>
      </c>
      <c r="T17" s="5">
        <v>1</v>
      </c>
      <c r="U17" s="5">
        <v>2</v>
      </c>
      <c r="V17" s="5">
        <v>1</v>
      </c>
      <c r="W17" s="6">
        <v>1</v>
      </c>
      <c r="X17" s="5">
        <v>2</v>
      </c>
      <c r="Y17" s="5">
        <v>21.58</v>
      </c>
      <c r="Z17" s="5">
        <v>3.92</v>
      </c>
      <c r="AA17" s="16">
        <f t="shared" si="0"/>
        <v>2.7567542793508952</v>
      </c>
      <c r="AB17" s="5">
        <v>3.92</v>
      </c>
      <c r="AF17" s="22" t="s">
        <v>11</v>
      </c>
      <c r="AG17" s="5" t="s">
        <v>8</v>
      </c>
      <c r="AH17" s="5" t="s">
        <v>9</v>
      </c>
      <c r="AI17" s="5" t="s">
        <v>10</v>
      </c>
      <c r="AJ17" s="5">
        <v>2</v>
      </c>
      <c r="AK17" s="5">
        <v>21.58</v>
      </c>
      <c r="AL17" s="5">
        <v>3.92</v>
      </c>
      <c r="AM17" s="5">
        <f t="shared" si="1"/>
        <v>2.7567542793508952</v>
      </c>
    </row>
    <row r="18" spans="11:39" ht="15.75" thickBot="1">
      <c r="K18" s="9" t="s">
        <v>44</v>
      </c>
      <c r="L18" s="9">
        <v>244</v>
      </c>
      <c r="T18" s="5">
        <v>2</v>
      </c>
      <c r="U18" s="5">
        <v>2</v>
      </c>
      <c r="V18" s="5">
        <v>1</v>
      </c>
      <c r="W18" s="6">
        <v>1</v>
      </c>
      <c r="X18" s="5">
        <v>3</v>
      </c>
      <c r="Y18" s="5">
        <v>10.33</v>
      </c>
      <c r="Z18" s="5">
        <v>1.67</v>
      </c>
      <c r="AA18" s="16">
        <f t="shared" si="0"/>
        <v>1.9069826608031182</v>
      </c>
      <c r="AB18" s="5">
        <v>1.67</v>
      </c>
      <c r="AF18" s="22" t="s">
        <v>7</v>
      </c>
      <c r="AG18" s="5" t="s">
        <v>8</v>
      </c>
      <c r="AH18" s="5" t="s">
        <v>9</v>
      </c>
      <c r="AI18" s="5" t="s">
        <v>10</v>
      </c>
      <c r="AJ18" s="5">
        <v>3</v>
      </c>
      <c r="AK18" s="5">
        <v>10.33</v>
      </c>
      <c r="AL18" s="5">
        <v>1.67</v>
      </c>
      <c r="AM18" s="5">
        <f t="shared" si="1"/>
        <v>1.9069826608031182</v>
      </c>
    </row>
    <row r="19" spans="11:39" ht="15.75" thickBot="1">
      <c r="T19" s="5">
        <v>1</v>
      </c>
      <c r="U19" s="5">
        <v>2</v>
      </c>
      <c r="V19" s="5">
        <v>1</v>
      </c>
      <c r="W19" s="6">
        <v>1</v>
      </c>
      <c r="X19" s="5">
        <v>3</v>
      </c>
      <c r="Y19" s="5">
        <v>16.29</v>
      </c>
      <c r="Z19" s="5">
        <v>3.71</v>
      </c>
      <c r="AA19" s="16">
        <f t="shared" si="0"/>
        <v>2.4384592551667703</v>
      </c>
      <c r="AB19" s="5">
        <v>3.71</v>
      </c>
      <c r="AF19" s="22" t="s">
        <v>11</v>
      </c>
      <c r="AG19" s="5" t="s">
        <v>8</v>
      </c>
      <c r="AH19" s="5" t="s">
        <v>9</v>
      </c>
      <c r="AI19" s="5" t="s">
        <v>10</v>
      </c>
      <c r="AJ19" s="5">
        <v>3</v>
      </c>
      <c r="AK19" s="5">
        <v>16.29</v>
      </c>
      <c r="AL19" s="5">
        <v>3.71</v>
      </c>
      <c r="AM19" s="5">
        <f t="shared" si="1"/>
        <v>2.4384592551667703</v>
      </c>
    </row>
    <row r="20" spans="11:39" ht="15.75" thickBot="1">
      <c r="K20" t="s">
        <v>45</v>
      </c>
      <c r="T20" s="5">
        <v>2</v>
      </c>
      <c r="U20" s="5">
        <v>2</v>
      </c>
      <c r="V20" s="5">
        <v>1</v>
      </c>
      <c r="W20" s="6">
        <v>1</v>
      </c>
      <c r="X20" s="5">
        <v>3</v>
      </c>
      <c r="Y20" s="5">
        <v>16.97</v>
      </c>
      <c r="Z20" s="5">
        <v>3.5</v>
      </c>
      <c r="AA20" s="16">
        <f t="shared" si="0"/>
        <v>2.531646986296173</v>
      </c>
      <c r="AB20" s="5">
        <v>3.5</v>
      </c>
      <c r="AF20" s="22" t="s">
        <v>7</v>
      </c>
      <c r="AG20" s="5" t="s">
        <v>8</v>
      </c>
      <c r="AH20" s="5" t="s">
        <v>9</v>
      </c>
      <c r="AI20" s="5" t="s">
        <v>10</v>
      </c>
      <c r="AJ20" s="5">
        <v>3</v>
      </c>
      <c r="AK20" s="5">
        <v>16.97</v>
      </c>
      <c r="AL20" s="5">
        <v>3.5</v>
      </c>
      <c r="AM20" s="5">
        <f t="shared" si="1"/>
        <v>2.531646986296173</v>
      </c>
    </row>
    <row r="21" spans="11:39" ht="15.75" thickBot="1">
      <c r="K21" s="10"/>
      <c r="L21" s="10" t="s">
        <v>50</v>
      </c>
      <c r="M21" s="10" t="s">
        <v>51</v>
      </c>
      <c r="N21" s="10" t="s">
        <v>52</v>
      </c>
      <c r="O21" s="10" t="s">
        <v>53</v>
      </c>
      <c r="P21" s="10" t="s">
        <v>54</v>
      </c>
      <c r="T21" s="5">
        <v>1</v>
      </c>
      <c r="U21" s="5">
        <v>2</v>
      </c>
      <c r="V21" s="5">
        <v>2</v>
      </c>
      <c r="W21" s="6">
        <v>1</v>
      </c>
      <c r="X21" s="5">
        <v>3</v>
      </c>
      <c r="Y21" s="5">
        <v>20.65</v>
      </c>
      <c r="Z21" s="5">
        <v>3.35</v>
      </c>
      <c r="AA21" s="16">
        <f t="shared" si="0"/>
        <v>2.8407965876576284</v>
      </c>
      <c r="AB21" s="5">
        <v>3.35</v>
      </c>
      <c r="AF21" s="22" t="s">
        <v>11</v>
      </c>
      <c r="AG21" s="5" t="s">
        <v>8</v>
      </c>
      <c r="AH21" s="5" t="s">
        <v>21</v>
      </c>
      <c r="AI21" s="5" t="s">
        <v>10</v>
      </c>
      <c r="AJ21" s="5">
        <v>3</v>
      </c>
      <c r="AK21" s="5">
        <v>20.65</v>
      </c>
      <c r="AL21" s="5">
        <v>3.35</v>
      </c>
      <c r="AM21" s="5">
        <f t="shared" si="1"/>
        <v>2.8407965876576284</v>
      </c>
    </row>
    <row r="22" spans="11:39" ht="15.75" thickBot="1">
      <c r="K22" t="s">
        <v>46</v>
      </c>
      <c r="L22">
        <v>6</v>
      </c>
      <c r="M22">
        <v>218.08329164522058</v>
      </c>
      <c r="N22">
        <v>36.347215274203428</v>
      </c>
      <c r="O22">
        <v>34.857437036039236</v>
      </c>
      <c r="P22">
        <v>4.4907152788443999E-30</v>
      </c>
      <c r="T22" s="5">
        <v>1</v>
      </c>
      <c r="U22" s="5">
        <v>2</v>
      </c>
      <c r="V22" s="5">
        <v>2</v>
      </c>
      <c r="W22" s="6">
        <v>1</v>
      </c>
      <c r="X22" s="5">
        <v>2</v>
      </c>
      <c r="Y22" s="5">
        <v>17.920000000000002</v>
      </c>
      <c r="Z22" s="5">
        <v>4.08</v>
      </c>
      <c r="AA22" s="16">
        <f t="shared" si="0"/>
        <v>2.4046024717130945</v>
      </c>
      <c r="AB22" s="5">
        <v>4.08</v>
      </c>
      <c r="AF22" s="22" t="s">
        <v>11</v>
      </c>
      <c r="AG22" s="5" t="s">
        <v>8</v>
      </c>
      <c r="AH22" s="5" t="s">
        <v>21</v>
      </c>
      <c r="AI22" s="5" t="s">
        <v>10</v>
      </c>
      <c r="AJ22" s="5">
        <v>2</v>
      </c>
      <c r="AK22" s="5">
        <v>17.920000000000002</v>
      </c>
      <c r="AL22" s="5">
        <v>4.08</v>
      </c>
      <c r="AM22" s="5">
        <f t="shared" si="1"/>
        <v>2.4046024717130945</v>
      </c>
    </row>
    <row r="23" spans="11:39" ht="15.75" thickBot="1">
      <c r="K23" t="s">
        <v>47</v>
      </c>
      <c r="L23">
        <v>237</v>
      </c>
      <c r="M23">
        <v>247.12918540396026</v>
      </c>
      <c r="N23">
        <v>1.0427391789196636</v>
      </c>
      <c r="T23" s="5">
        <v>2</v>
      </c>
      <c r="U23" s="5">
        <v>2</v>
      </c>
      <c r="V23" s="5">
        <v>2</v>
      </c>
      <c r="W23" s="6">
        <v>1</v>
      </c>
      <c r="X23" s="5">
        <v>2</v>
      </c>
      <c r="Y23" s="5">
        <v>20.29</v>
      </c>
      <c r="Z23" s="5">
        <v>2.75</v>
      </c>
      <c r="AA23" s="16">
        <f t="shared" si="0"/>
        <v>2.6567785627947953</v>
      </c>
      <c r="AB23" s="5">
        <v>2.75</v>
      </c>
      <c r="AF23" s="22" t="s">
        <v>7</v>
      </c>
      <c r="AG23" s="5" t="s">
        <v>8</v>
      </c>
      <c r="AH23" s="5" t="s">
        <v>21</v>
      </c>
      <c r="AI23" s="5" t="s">
        <v>10</v>
      </c>
      <c r="AJ23" s="5">
        <v>2</v>
      </c>
      <c r="AK23" s="5">
        <v>20.29</v>
      </c>
      <c r="AL23" s="5">
        <v>2.75</v>
      </c>
      <c r="AM23" s="5">
        <f t="shared" si="1"/>
        <v>2.6567785627947953</v>
      </c>
    </row>
    <row r="24" spans="11:39" ht="15.75" thickBot="1">
      <c r="K24" s="9" t="s">
        <v>48</v>
      </c>
      <c r="L24" s="9">
        <v>243</v>
      </c>
      <c r="M24" s="9">
        <v>465.21247704918085</v>
      </c>
      <c r="N24" s="9"/>
      <c r="O24" s="9"/>
      <c r="P24" s="9"/>
      <c r="T24" s="5">
        <v>2</v>
      </c>
      <c r="U24" s="5">
        <v>2</v>
      </c>
      <c r="V24" s="5">
        <v>2</v>
      </c>
      <c r="W24" s="6">
        <v>1</v>
      </c>
      <c r="X24" s="5">
        <v>2</v>
      </c>
      <c r="Y24" s="5">
        <v>15.77</v>
      </c>
      <c r="Z24" s="5">
        <v>2.23</v>
      </c>
      <c r="AA24" s="16">
        <f t="shared" si="0"/>
        <v>2.2315552568868728</v>
      </c>
      <c r="AB24" s="5">
        <v>2.23</v>
      </c>
      <c r="AF24" s="22" t="s">
        <v>7</v>
      </c>
      <c r="AG24" s="5" t="s">
        <v>8</v>
      </c>
      <c r="AH24" s="5" t="s">
        <v>21</v>
      </c>
      <c r="AI24" s="5" t="s">
        <v>10</v>
      </c>
      <c r="AJ24" s="5">
        <v>2</v>
      </c>
      <c r="AK24" s="5">
        <v>15.77</v>
      </c>
      <c r="AL24" s="5">
        <v>2.23</v>
      </c>
      <c r="AM24" s="5">
        <f t="shared" si="1"/>
        <v>2.2315552568868728</v>
      </c>
    </row>
    <row r="25" spans="11:39" ht="15.75" thickBot="1">
      <c r="T25" s="5">
        <v>1</v>
      </c>
      <c r="U25" s="5">
        <v>2</v>
      </c>
      <c r="V25" s="5">
        <v>2</v>
      </c>
      <c r="W25" s="6">
        <v>1</v>
      </c>
      <c r="X25" s="5">
        <v>4</v>
      </c>
      <c r="Y25" s="5">
        <v>39.42</v>
      </c>
      <c r="Z25" s="5">
        <v>7.58</v>
      </c>
      <c r="AA25" s="16">
        <f t="shared" si="0"/>
        <v>4.7859689838594814</v>
      </c>
      <c r="AB25" s="5">
        <v>7.58</v>
      </c>
      <c r="AF25" s="22" t="s">
        <v>11</v>
      </c>
      <c r="AG25" s="5" t="s">
        <v>8</v>
      </c>
      <c r="AH25" s="5" t="s">
        <v>21</v>
      </c>
      <c r="AI25" s="5" t="s">
        <v>10</v>
      </c>
      <c r="AJ25" s="5">
        <v>4</v>
      </c>
      <c r="AK25" s="5">
        <v>39.42</v>
      </c>
      <c r="AL25" s="5">
        <v>7.58</v>
      </c>
      <c r="AM25" s="5">
        <f t="shared" si="1"/>
        <v>4.7859689838594814</v>
      </c>
    </row>
    <row r="26" spans="11:39" ht="15.75" thickBot="1">
      <c r="K26" s="10"/>
      <c r="L26" s="10" t="s">
        <v>55</v>
      </c>
      <c r="M26" s="10" t="s">
        <v>43</v>
      </c>
      <c r="N26" s="10" t="s">
        <v>56</v>
      </c>
      <c r="O26" s="10" t="s">
        <v>57</v>
      </c>
      <c r="P26" s="10" t="s">
        <v>58</v>
      </c>
      <c r="Q26" s="10" t="s">
        <v>59</v>
      </c>
      <c r="R26" s="10" t="s">
        <v>60</v>
      </c>
      <c r="S26" s="10" t="s">
        <v>61</v>
      </c>
      <c r="T26" s="5">
        <v>1</v>
      </c>
      <c r="U26" s="5">
        <v>2</v>
      </c>
      <c r="V26" s="5">
        <v>2</v>
      </c>
      <c r="W26" s="6">
        <v>1</v>
      </c>
      <c r="X26" s="5">
        <v>2</v>
      </c>
      <c r="Y26" s="5">
        <v>19.82</v>
      </c>
      <c r="Z26" s="5">
        <v>3.18</v>
      </c>
      <c r="AA26" s="16">
        <f t="shared" si="0"/>
        <v>2.5833467817186371</v>
      </c>
      <c r="AB26" s="5">
        <v>3.18</v>
      </c>
      <c r="AF26" s="22" t="s">
        <v>11</v>
      </c>
      <c r="AG26" s="5" t="s">
        <v>8</v>
      </c>
      <c r="AH26" s="5" t="s">
        <v>21</v>
      </c>
      <c r="AI26" s="5" t="s">
        <v>10</v>
      </c>
      <c r="AJ26" s="5">
        <v>2</v>
      </c>
      <c r="AK26" s="5">
        <v>19.82</v>
      </c>
      <c r="AL26" s="5">
        <v>3.18</v>
      </c>
      <c r="AM26" s="5">
        <f t="shared" si="1"/>
        <v>2.5833467817186371</v>
      </c>
    </row>
    <row r="27" spans="11:39" ht="15.75" thickBot="1">
      <c r="K27" t="s">
        <v>49</v>
      </c>
      <c r="L27">
        <v>0.51428098395816468</v>
      </c>
      <c r="M27">
        <v>0.40895874619601397</v>
      </c>
      <c r="N27">
        <v>1.2575375603085153</v>
      </c>
      <c r="O27">
        <v>0.20979676392770688</v>
      </c>
      <c r="P27">
        <v>-0.29137756531251513</v>
      </c>
      <c r="Q27">
        <v>1.3199395332288444</v>
      </c>
      <c r="R27">
        <v>-0.29137756531251513</v>
      </c>
      <c r="S27">
        <v>1.3199395332288444</v>
      </c>
      <c r="T27" s="5">
        <v>1</v>
      </c>
      <c r="U27" s="5">
        <v>2</v>
      </c>
      <c r="V27" s="5">
        <v>2</v>
      </c>
      <c r="W27" s="6">
        <v>1</v>
      </c>
      <c r="X27" s="5">
        <v>4</v>
      </c>
      <c r="Y27" s="5">
        <v>17.809999999999999</v>
      </c>
      <c r="Z27" s="5">
        <v>2.34</v>
      </c>
      <c r="AA27" s="16">
        <f t="shared" si="0"/>
        <v>2.7529876474280184</v>
      </c>
      <c r="AB27" s="5">
        <v>2.34</v>
      </c>
      <c r="AF27" s="22" t="s">
        <v>11</v>
      </c>
      <c r="AG27" s="5" t="s">
        <v>8</v>
      </c>
      <c r="AH27" s="5" t="s">
        <v>21</v>
      </c>
      <c r="AI27" s="5" t="s">
        <v>10</v>
      </c>
      <c r="AJ27" s="5">
        <v>4</v>
      </c>
      <c r="AK27" s="5">
        <v>17.809999999999999</v>
      </c>
      <c r="AL27" s="5">
        <v>2.34</v>
      </c>
      <c r="AM27" s="5">
        <f t="shared" si="1"/>
        <v>2.7529876474280184</v>
      </c>
    </row>
    <row r="28" spans="11:39" ht="15.75" thickBot="1">
      <c r="K28" t="s">
        <v>4</v>
      </c>
      <c r="L28">
        <v>0.17936676525235937</v>
      </c>
      <c r="M28">
        <v>8.9111038315663554E-2</v>
      </c>
      <c r="N28">
        <v>2.012845643398042</v>
      </c>
      <c r="O28">
        <v>4.5261959836261294E-2</v>
      </c>
      <c r="P28">
        <v>3.815880178511255E-3</v>
      </c>
      <c r="Q28">
        <v>0.35491765032620748</v>
      </c>
      <c r="R28">
        <v>3.815880178511255E-3</v>
      </c>
      <c r="S28">
        <v>0.35491765032620748</v>
      </c>
      <c r="T28" s="5">
        <v>1</v>
      </c>
      <c r="U28" s="5">
        <v>2</v>
      </c>
      <c r="V28" s="5">
        <v>2</v>
      </c>
      <c r="W28" s="6">
        <v>1</v>
      </c>
      <c r="X28" s="5">
        <v>2</v>
      </c>
      <c r="Y28" s="5">
        <v>13.37</v>
      </c>
      <c r="Z28" s="5">
        <v>2</v>
      </c>
      <c r="AA28" s="16">
        <f t="shared" si="0"/>
        <v>1.9765568872261368</v>
      </c>
      <c r="AB28" s="5">
        <v>2</v>
      </c>
      <c r="AF28" s="22" t="s">
        <v>11</v>
      </c>
      <c r="AG28" s="5" t="s">
        <v>8</v>
      </c>
      <c r="AH28" s="5" t="s">
        <v>21</v>
      </c>
      <c r="AI28" s="5" t="s">
        <v>10</v>
      </c>
      <c r="AJ28" s="5">
        <v>2</v>
      </c>
      <c r="AK28" s="5">
        <v>13.37</v>
      </c>
      <c r="AL28" s="5">
        <v>2</v>
      </c>
      <c r="AM28" s="5">
        <f t="shared" si="1"/>
        <v>1.9765568872261368</v>
      </c>
    </row>
    <row r="29" spans="11:39" ht="15.75" thickBot="1">
      <c r="K29" t="s">
        <v>5</v>
      </c>
      <c r="L29">
        <v>9.4075952634496168E-2</v>
      </c>
      <c r="M29">
        <v>9.5243995423683111E-3</v>
      </c>
      <c r="N29">
        <v>9.8773631047300121</v>
      </c>
      <c r="O29">
        <v>1.7161334802962328E-19</v>
      </c>
      <c r="P29">
        <v>7.5312656851353993E-2</v>
      </c>
      <c r="Q29">
        <v>0.11283924841763834</v>
      </c>
      <c r="R29">
        <v>7.5312656851353993E-2</v>
      </c>
      <c r="S29">
        <v>0.11283924841763834</v>
      </c>
      <c r="T29" s="5">
        <v>1</v>
      </c>
      <c r="U29" s="5">
        <v>2</v>
      </c>
      <c r="V29" s="5">
        <v>2</v>
      </c>
      <c r="W29" s="6">
        <v>1</v>
      </c>
      <c r="X29" s="5">
        <v>2</v>
      </c>
      <c r="Y29" s="5">
        <v>12.69</v>
      </c>
      <c r="Z29" s="5">
        <v>2</v>
      </c>
      <c r="AA29" s="16">
        <f t="shared" si="0"/>
        <v>1.9125852394346794</v>
      </c>
      <c r="AB29" s="5">
        <v>2</v>
      </c>
      <c r="AF29" s="22" t="s">
        <v>11</v>
      </c>
      <c r="AG29" s="5" t="s">
        <v>8</v>
      </c>
      <c r="AH29" s="5" t="s">
        <v>21</v>
      </c>
      <c r="AI29" s="5" t="s">
        <v>10</v>
      </c>
      <c r="AJ29" s="5">
        <v>2</v>
      </c>
      <c r="AK29" s="5">
        <v>12.69</v>
      </c>
      <c r="AL29" s="5">
        <v>2</v>
      </c>
      <c r="AM29" s="5">
        <f t="shared" si="1"/>
        <v>1.9125852394346794</v>
      </c>
    </row>
    <row r="30" spans="11:39" ht="15.75" thickBot="1">
      <c r="K30" t="s">
        <v>30</v>
      </c>
      <c r="L30">
        <v>2.921608333794504E-2</v>
      </c>
      <c r="M30">
        <v>0.14106002052841651</v>
      </c>
      <c r="N30">
        <v>0.20711809929206318</v>
      </c>
      <c r="O30">
        <v>0.83609547124957317</v>
      </c>
      <c r="P30">
        <v>-0.24867554401105343</v>
      </c>
      <c r="Q30">
        <v>0.30710771068694354</v>
      </c>
      <c r="R30">
        <v>-0.24867554401105343</v>
      </c>
      <c r="S30">
        <v>0.30710771068694354</v>
      </c>
      <c r="T30" s="5">
        <v>1</v>
      </c>
      <c r="U30" s="5">
        <v>2</v>
      </c>
      <c r="V30" s="5">
        <v>2</v>
      </c>
      <c r="W30" s="6">
        <v>1</v>
      </c>
      <c r="X30" s="5">
        <v>2</v>
      </c>
      <c r="Y30" s="5">
        <v>21.7</v>
      </c>
      <c r="Z30" s="5">
        <v>4.3</v>
      </c>
      <c r="AA30" s="16">
        <f t="shared" si="0"/>
        <v>2.7602095726714899</v>
      </c>
      <c r="AB30" s="5">
        <v>4.3</v>
      </c>
      <c r="AF30" s="22" t="s">
        <v>11</v>
      </c>
      <c r="AG30" s="5" t="s">
        <v>8</v>
      </c>
      <c r="AH30" s="5" t="s">
        <v>21</v>
      </c>
      <c r="AI30" s="5" t="s">
        <v>10</v>
      </c>
      <c r="AJ30" s="5">
        <v>2</v>
      </c>
      <c r="AK30" s="5">
        <v>21.7</v>
      </c>
      <c r="AL30" s="5">
        <v>4.3</v>
      </c>
      <c r="AM30" s="5">
        <f t="shared" si="1"/>
        <v>2.7602095726714899</v>
      </c>
    </row>
    <row r="31" spans="11:39" ht="15.75" thickBot="1">
      <c r="K31" t="s">
        <v>31</v>
      </c>
      <c r="L31">
        <v>8.1040507598820602E-2</v>
      </c>
      <c r="M31">
        <v>0.14374224836627875</v>
      </c>
      <c r="N31">
        <v>0.56379045492815827</v>
      </c>
      <c r="O31">
        <v>0.57342983047784624</v>
      </c>
      <c r="P31">
        <v>-0.20213517299213929</v>
      </c>
      <c r="Q31">
        <v>0.36421618818978047</v>
      </c>
      <c r="R31">
        <v>-0.20213517299213929</v>
      </c>
      <c r="S31">
        <v>0.36421618818978047</v>
      </c>
      <c r="T31" s="5">
        <v>2</v>
      </c>
      <c r="U31" s="5">
        <v>2</v>
      </c>
      <c r="V31" s="5">
        <v>2</v>
      </c>
      <c r="W31" s="6">
        <v>1</v>
      </c>
      <c r="X31" s="5">
        <v>2</v>
      </c>
      <c r="Y31" s="5">
        <v>19.649999999999999</v>
      </c>
      <c r="Z31" s="5">
        <v>3</v>
      </c>
      <c r="AA31" s="16">
        <f t="shared" si="0"/>
        <v>2.5965699531087179</v>
      </c>
      <c r="AB31" s="5">
        <v>3</v>
      </c>
      <c r="AF31" s="22" t="s">
        <v>7</v>
      </c>
      <c r="AG31" s="5" t="s">
        <v>8</v>
      </c>
      <c r="AH31" s="5" t="s">
        <v>21</v>
      </c>
      <c r="AI31" s="5" t="s">
        <v>10</v>
      </c>
      <c r="AJ31" s="5">
        <v>2</v>
      </c>
      <c r="AK31" s="5">
        <v>19.649999999999999</v>
      </c>
      <c r="AL31" s="5">
        <v>3</v>
      </c>
      <c r="AM31" s="5">
        <f t="shared" si="1"/>
        <v>2.5965699531087179</v>
      </c>
    </row>
    <row r="32" spans="11:39" ht="15.75" thickBot="1">
      <c r="K32" t="s">
        <v>32</v>
      </c>
      <c r="L32">
        <v>-7.833820995545351E-3</v>
      </c>
      <c r="M32">
        <v>0.1003811206464959</v>
      </c>
      <c r="N32">
        <v>-7.8040780428553752E-2</v>
      </c>
      <c r="O32">
        <v>0.93786146088558475</v>
      </c>
      <c r="P32">
        <v>-0.20558703886035801</v>
      </c>
      <c r="Q32">
        <v>0.18991939686926729</v>
      </c>
      <c r="R32">
        <v>-0.20558703886035801</v>
      </c>
      <c r="S32">
        <v>0.18991939686926729</v>
      </c>
      <c r="T32" s="5">
        <v>1</v>
      </c>
      <c r="U32" s="5">
        <v>2</v>
      </c>
      <c r="V32" s="5">
        <v>2</v>
      </c>
      <c r="W32" s="6">
        <v>1</v>
      </c>
      <c r="X32" s="5">
        <v>2</v>
      </c>
      <c r="Y32" s="5">
        <v>9.5500000000000007</v>
      </c>
      <c r="Z32" s="5">
        <v>1.45</v>
      </c>
      <c r="AA32" s="16">
        <f t="shared" si="0"/>
        <v>1.6171867481623616</v>
      </c>
      <c r="AB32" s="5">
        <v>1.45</v>
      </c>
      <c r="AF32" s="22" t="s">
        <v>11</v>
      </c>
      <c r="AG32" s="5" t="s">
        <v>8</v>
      </c>
      <c r="AH32" s="5" t="s">
        <v>21</v>
      </c>
      <c r="AI32" s="5" t="s">
        <v>10</v>
      </c>
      <c r="AJ32" s="5">
        <v>2</v>
      </c>
      <c r="AK32" s="5">
        <v>9.5500000000000007</v>
      </c>
      <c r="AL32" s="5">
        <v>1.45</v>
      </c>
      <c r="AM32" s="5">
        <f t="shared" si="1"/>
        <v>1.6171867481623616</v>
      </c>
    </row>
    <row r="33" spans="11:39" ht="15.75" thickBot="1">
      <c r="K33" s="9" t="s">
        <v>10</v>
      </c>
      <c r="L33" s="9">
        <v>5.7205401091735032E-3</v>
      </c>
      <c r="M33" s="9">
        <v>0.20369712273434973</v>
      </c>
      <c r="N33" s="9">
        <v>2.8083558728681249E-2</v>
      </c>
      <c r="O33" s="9">
        <v>0.97761914044562248</v>
      </c>
      <c r="P33" s="9">
        <v>-0.39556768252761471</v>
      </c>
      <c r="Q33" s="9">
        <v>0.40700876274596171</v>
      </c>
      <c r="R33" s="9">
        <v>-0.39556768252761471</v>
      </c>
      <c r="S33" s="9">
        <v>0.40700876274596171</v>
      </c>
      <c r="T33" s="5">
        <v>1</v>
      </c>
      <c r="U33" s="5">
        <v>2</v>
      </c>
      <c r="V33" s="5">
        <v>2</v>
      </c>
      <c r="W33" s="6">
        <v>1</v>
      </c>
      <c r="X33" s="5">
        <v>4</v>
      </c>
      <c r="Y33" s="5">
        <v>18.350000000000001</v>
      </c>
      <c r="Z33" s="5">
        <v>2.5</v>
      </c>
      <c r="AA33" s="16">
        <f t="shared" si="0"/>
        <v>2.8037886618506467</v>
      </c>
      <c r="AB33" s="5">
        <v>2.5</v>
      </c>
      <c r="AF33" s="22" t="s">
        <v>11</v>
      </c>
      <c r="AG33" s="5" t="s">
        <v>8</v>
      </c>
      <c r="AH33" s="5" t="s">
        <v>21</v>
      </c>
      <c r="AI33" s="5" t="s">
        <v>10</v>
      </c>
      <c r="AJ33" s="5">
        <v>4</v>
      </c>
      <c r="AK33" s="5">
        <v>18.350000000000001</v>
      </c>
      <c r="AL33" s="5">
        <v>2.5</v>
      </c>
      <c r="AM33" s="5">
        <f t="shared" si="1"/>
        <v>2.8037886618506467</v>
      </c>
    </row>
    <row r="34" spans="11:39" ht="15.75" thickBot="1">
      <c r="T34" s="5">
        <v>2</v>
      </c>
      <c r="U34" s="5">
        <v>2</v>
      </c>
      <c r="V34" s="5">
        <v>2</v>
      </c>
      <c r="W34" s="6">
        <v>1</v>
      </c>
      <c r="X34" s="5">
        <v>2</v>
      </c>
      <c r="Y34" s="5">
        <v>15.06</v>
      </c>
      <c r="Z34" s="5">
        <v>3</v>
      </c>
      <c r="AA34" s="16">
        <f t="shared" si="0"/>
        <v>2.1647613305163804</v>
      </c>
      <c r="AB34" s="5">
        <v>3</v>
      </c>
      <c r="AF34" s="22" t="s">
        <v>7</v>
      </c>
      <c r="AG34" s="5" t="s">
        <v>8</v>
      </c>
      <c r="AH34" s="5" t="s">
        <v>21</v>
      </c>
      <c r="AI34" s="5" t="s">
        <v>10</v>
      </c>
      <c r="AJ34" s="5">
        <v>2</v>
      </c>
      <c r="AK34" s="5">
        <v>15.06</v>
      </c>
      <c r="AL34" s="5">
        <v>3</v>
      </c>
      <c r="AM34" s="5">
        <f t="shared" si="1"/>
        <v>2.1647613305163804</v>
      </c>
    </row>
    <row r="35" spans="11:39" ht="15.75" thickBot="1">
      <c r="T35" s="5">
        <v>2</v>
      </c>
      <c r="U35" s="5">
        <v>2</v>
      </c>
      <c r="V35" s="5">
        <v>2</v>
      </c>
      <c r="W35" s="6">
        <v>1</v>
      </c>
      <c r="X35" s="5">
        <v>4</v>
      </c>
      <c r="Y35" s="5">
        <v>20.69</v>
      </c>
      <c r="Z35" s="5">
        <v>2.4500000000000002</v>
      </c>
      <c r="AA35" s="16">
        <f t="shared" si="0"/>
        <v>3.0531424743533129</v>
      </c>
      <c r="AB35" s="5">
        <v>2.4500000000000002</v>
      </c>
      <c r="AF35" s="22" t="s">
        <v>7</v>
      </c>
      <c r="AG35" s="5" t="s">
        <v>8</v>
      </c>
      <c r="AH35" s="5" t="s">
        <v>21</v>
      </c>
      <c r="AI35" s="5" t="s">
        <v>10</v>
      </c>
      <c r="AJ35" s="5">
        <v>4</v>
      </c>
      <c r="AK35" s="5">
        <v>20.69</v>
      </c>
      <c r="AL35" s="5">
        <v>2.4500000000000002</v>
      </c>
      <c r="AM35" s="5">
        <f t="shared" si="1"/>
        <v>3.0531424743533129</v>
      </c>
    </row>
    <row r="36" spans="11:39" ht="15.75" thickBot="1">
      <c r="K36" t="s">
        <v>62</v>
      </c>
      <c r="T36" s="5">
        <v>1</v>
      </c>
      <c r="U36" s="5">
        <v>2</v>
      </c>
      <c r="V36" s="5">
        <v>2</v>
      </c>
      <c r="W36" s="6">
        <v>1</v>
      </c>
      <c r="X36" s="5">
        <v>2</v>
      </c>
      <c r="Y36" s="5">
        <v>17.78</v>
      </c>
      <c r="Z36" s="5">
        <v>3.27</v>
      </c>
      <c r="AA36" s="16">
        <f t="shared" si="0"/>
        <v>2.391431838344265</v>
      </c>
      <c r="AB36" s="5">
        <v>3.27</v>
      </c>
      <c r="AF36" s="22" t="s">
        <v>11</v>
      </c>
      <c r="AG36" s="5" t="s">
        <v>8</v>
      </c>
      <c r="AH36" s="5" t="s">
        <v>21</v>
      </c>
      <c r="AI36" s="5" t="s">
        <v>10</v>
      </c>
      <c r="AJ36" s="5">
        <v>2</v>
      </c>
      <c r="AK36" s="5">
        <v>17.78</v>
      </c>
      <c r="AL36" s="5">
        <v>3.27</v>
      </c>
      <c r="AM36" s="5">
        <f t="shared" si="1"/>
        <v>2.391431838344265</v>
      </c>
    </row>
    <row r="37" spans="11:39" ht="15.75" thickBot="1">
      <c r="K37" t="s">
        <v>63</v>
      </c>
      <c r="T37" s="5">
        <v>1</v>
      </c>
      <c r="U37" s="5">
        <v>2</v>
      </c>
      <c r="V37" s="5">
        <v>2</v>
      </c>
      <c r="W37" s="6">
        <v>1</v>
      </c>
      <c r="X37" s="5">
        <v>3</v>
      </c>
      <c r="Y37" s="5">
        <v>24.06</v>
      </c>
      <c r="Z37" s="5">
        <v>3.6</v>
      </c>
      <c r="AA37" s="16">
        <f t="shared" si="0"/>
        <v>3.1615955861412601</v>
      </c>
      <c r="AB37" s="5">
        <v>3.6</v>
      </c>
      <c r="AF37" s="22" t="s">
        <v>11</v>
      </c>
      <c r="AG37" s="5" t="s">
        <v>8</v>
      </c>
      <c r="AH37" s="5" t="s">
        <v>21</v>
      </c>
      <c r="AI37" s="5" t="s">
        <v>10</v>
      </c>
      <c r="AJ37" s="5">
        <v>3</v>
      </c>
      <c r="AK37" s="5">
        <v>24.06</v>
      </c>
      <c r="AL37" s="5">
        <v>3.6</v>
      </c>
      <c r="AM37" s="5">
        <f t="shared" si="1"/>
        <v>3.1615955861412601</v>
      </c>
    </row>
    <row r="38" spans="11:39" ht="15.75" thickBot="1">
      <c r="K38" s="14" t="s">
        <v>64</v>
      </c>
      <c r="T38" s="5">
        <v>1</v>
      </c>
      <c r="U38" s="5">
        <v>2</v>
      </c>
      <c r="V38" s="5">
        <v>2</v>
      </c>
      <c r="W38" s="6">
        <v>1</v>
      </c>
      <c r="X38" s="5">
        <v>3</v>
      </c>
      <c r="Y38" s="5">
        <v>16.309999999999999</v>
      </c>
      <c r="Z38" s="5">
        <v>2</v>
      </c>
      <c r="AA38" s="16">
        <f t="shared" si="0"/>
        <v>2.432506953223915</v>
      </c>
      <c r="AB38" s="5">
        <v>2</v>
      </c>
      <c r="AF38" s="22" t="s">
        <v>11</v>
      </c>
      <c r="AG38" s="5" t="s">
        <v>8</v>
      </c>
      <c r="AH38" s="5" t="s">
        <v>21</v>
      </c>
      <c r="AI38" s="5" t="s">
        <v>10</v>
      </c>
      <c r="AJ38" s="5">
        <v>3</v>
      </c>
      <c r="AK38" s="5">
        <v>16.309999999999999</v>
      </c>
      <c r="AL38" s="5">
        <v>2</v>
      </c>
      <c r="AM38" s="5">
        <f t="shared" si="1"/>
        <v>2.432506953223915</v>
      </c>
    </row>
    <row r="39" spans="11:39" ht="15.75" thickBot="1">
      <c r="K39" s="14" t="s">
        <v>65</v>
      </c>
      <c r="T39" s="5">
        <v>2</v>
      </c>
      <c r="U39" s="5">
        <v>2</v>
      </c>
      <c r="V39" s="5">
        <v>2</v>
      </c>
      <c r="W39" s="6">
        <v>1</v>
      </c>
      <c r="X39" s="5">
        <v>3</v>
      </c>
      <c r="Y39" s="5">
        <v>16.93</v>
      </c>
      <c r="Z39" s="5">
        <v>3.07</v>
      </c>
      <c r="AA39" s="16">
        <f t="shared" si="0"/>
        <v>2.5200501271952476</v>
      </c>
      <c r="AB39" s="5">
        <v>3.07</v>
      </c>
      <c r="AF39" s="22" t="s">
        <v>7</v>
      </c>
      <c r="AG39" s="5" t="s">
        <v>8</v>
      </c>
      <c r="AH39" s="5" t="s">
        <v>21</v>
      </c>
      <c r="AI39" s="5" t="s">
        <v>10</v>
      </c>
      <c r="AJ39" s="5">
        <v>3</v>
      </c>
      <c r="AK39" s="5">
        <v>16.93</v>
      </c>
      <c r="AL39" s="5">
        <v>3.07</v>
      </c>
      <c r="AM39" s="5">
        <f t="shared" si="1"/>
        <v>2.5200501271952476</v>
      </c>
    </row>
    <row r="40" spans="11:39" ht="15.75" thickBot="1">
      <c r="K40" s="14" t="s">
        <v>66</v>
      </c>
      <c r="T40" s="5">
        <v>1</v>
      </c>
      <c r="U40" s="5">
        <v>2</v>
      </c>
      <c r="V40" s="5">
        <v>2</v>
      </c>
      <c r="W40" s="6">
        <v>1</v>
      </c>
      <c r="X40" s="5">
        <v>3</v>
      </c>
      <c r="Y40" s="5">
        <v>18.690000000000001</v>
      </c>
      <c r="Z40" s="5">
        <v>2.31</v>
      </c>
      <c r="AA40" s="16">
        <f t="shared" si="0"/>
        <v>2.6564077204940162</v>
      </c>
      <c r="AB40" s="5">
        <v>2.31</v>
      </c>
      <c r="AF40" s="22" t="s">
        <v>11</v>
      </c>
      <c r="AG40" s="5" t="s">
        <v>8</v>
      </c>
      <c r="AH40" s="5" t="s">
        <v>21</v>
      </c>
      <c r="AI40" s="5" t="s">
        <v>10</v>
      </c>
      <c r="AJ40" s="5">
        <v>3</v>
      </c>
      <c r="AK40" s="5">
        <v>18.690000000000001</v>
      </c>
      <c r="AL40" s="5">
        <v>2.31</v>
      </c>
      <c r="AM40" s="5">
        <f t="shared" si="1"/>
        <v>2.6564077204940162</v>
      </c>
    </row>
    <row r="41" spans="11:39" ht="15.75" thickBot="1">
      <c r="K41" s="14" t="s">
        <v>67</v>
      </c>
      <c r="T41" s="5">
        <v>1</v>
      </c>
      <c r="U41" s="5">
        <v>2</v>
      </c>
      <c r="V41" s="5">
        <v>2</v>
      </c>
      <c r="W41" s="6">
        <v>1</v>
      </c>
      <c r="X41" s="5">
        <v>3</v>
      </c>
      <c r="Y41" s="5">
        <v>31.27</v>
      </c>
      <c r="Z41" s="5">
        <v>5</v>
      </c>
      <c r="AA41" s="16">
        <f t="shared" si="0"/>
        <v>3.8398832046359779</v>
      </c>
      <c r="AB41" s="5">
        <v>5</v>
      </c>
      <c r="AF41" s="22" t="s">
        <v>11</v>
      </c>
      <c r="AG41" s="5" t="s">
        <v>8</v>
      </c>
      <c r="AH41" s="5" t="s">
        <v>21</v>
      </c>
      <c r="AI41" s="5" t="s">
        <v>10</v>
      </c>
      <c r="AJ41" s="5">
        <v>3</v>
      </c>
      <c r="AK41" s="5">
        <v>31.27</v>
      </c>
      <c r="AL41" s="5">
        <v>5</v>
      </c>
      <c r="AM41" s="5">
        <f t="shared" si="1"/>
        <v>3.8398832046359779</v>
      </c>
    </row>
    <row r="42" spans="11:39" ht="15.75" thickBot="1">
      <c r="T42" s="5">
        <v>1</v>
      </c>
      <c r="U42" s="5">
        <v>2</v>
      </c>
      <c r="V42" s="5">
        <v>2</v>
      </c>
      <c r="W42" s="6">
        <v>1</v>
      </c>
      <c r="X42" s="5">
        <v>3</v>
      </c>
      <c r="Y42" s="5">
        <v>16.04</v>
      </c>
      <c r="Z42" s="5">
        <v>2.2400000000000002</v>
      </c>
      <c r="AA42" s="16">
        <f t="shared" si="0"/>
        <v>2.4071064460126008</v>
      </c>
      <c r="AB42" s="5">
        <v>2.2400000000000002</v>
      </c>
      <c r="AF42" s="22" t="s">
        <v>11</v>
      </c>
      <c r="AG42" s="5" t="s">
        <v>8</v>
      </c>
      <c r="AH42" s="5" t="s">
        <v>21</v>
      </c>
      <c r="AI42" s="5" t="s">
        <v>10</v>
      </c>
      <c r="AJ42" s="5">
        <v>3</v>
      </c>
      <c r="AK42" s="5">
        <v>16.04</v>
      </c>
      <c r="AL42" s="5">
        <v>2.2400000000000002</v>
      </c>
      <c r="AM42" s="5">
        <f t="shared" si="1"/>
        <v>2.4071064460126008</v>
      </c>
    </row>
    <row r="43" spans="11:39" ht="15.75" thickBot="1">
      <c r="K43" s="13" t="s">
        <v>68</v>
      </c>
      <c r="T43" s="5">
        <v>1</v>
      </c>
      <c r="U43" s="5">
        <v>2</v>
      </c>
      <c r="V43" s="5">
        <v>1</v>
      </c>
      <c r="W43" s="6">
        <v>1</v>
      </c>
      <c r="X43" s="5">
        <v>2</v>
      </c>
      <c r="Y43" s="5">
        <v>17.46</v>
      </c>
      <c r="Z43" s="5">
        <v>2.54</v>
      </c>
      <c r="AA43" s="16">
        <f t="shared" si="0"/>
        <v>2.3691613544967716</v>
      </c>
      <c r="AB43" s="5">
        <v>2.54</v>
      </c>
      <c r="AF43" s="22" t="s">
        <v>11</v>
      </c>
      <c r="AG43" s="5" t="s">
        <v>8</v>
      </c>
      <c r="AH43" s="5" t="s">
        <v>9</v>
      </c>
      <c r="AI43" s="5" t="s">
        <v>10</v>
      </c>
      <c r="AJ43" s="5">
        <v>2</v>
      </c>
      <c r="AK43" s="5">
        <v>17.46</v>
      </c>
      <c r="AL43" s="5">
        <v>2.54</v>
      </c>
      <c r="AM43" s="5">
        <f t="shared" si="1"/>
        <v>2.3691613544967716</v>
      </c>
    </row>
    <row r="44" spans="11:39" ht="15.75" thickBot="1">
      <c r="K44" s="14" t="s">
        <v>69</v>
      </c>
      <c r="T44" s="5">
        <v>1</v>
      </c>
      <c r="U44" s="5">
        <v>2</v>
      </c>
      <c r="V44" s="5">
        <v>1</v>
      </c>
      <c r="W44" s="6">
        <v>1</v>
      </c>
      <c r="X44" s="5">
        <v>2</v>
      </c>
      <c r="Y44" s="5">
        <v>13.94</v>
      </c>
      <c r="Z44" s="5">
        <v>3.06</v>
      </c>
      <c r="AA44" s="16">
        <f t="shared" si="0"/>
        <v>2.038014001223345</v>
      </c>
      <c r="AB44" s="5">
        <v>3.06</v>
      </c>
      <c r="AF44" s="22" t="s">
        <v>11</v>
      </c>
      <c r="AG44" s="5" t="s">
        <v>8</v>
      </c>
      <c r="AH44" s="5" t="s">
        <v>9</v>
      </c>
      <c r="AI44" s="5" t="s">
        <v>10</v>
      </c>
      <c r="AJ44" s="5">
        <v>2</v>
      </c>
      <c r="AK44" s="5">
        <v>13.94</v>
      </c>
      <c r="AL44" s="5">
        <v>3.06</v>
      </c>
      <c r="AM44" s="5">
        <f t="shared" si="1"/>
        <v>2.038014001223345</v>
      </c>
    </row>
    <row r="45" spans="11:39" ht="15.75" thickBot="1">
      <c r="K45" s="14" t="s">
        <v>70</v>
      </c>
      <c r="T45" s="5">
        <v>1</v>
      </c>
      <c r="U45" s="5">
        <v>2</v>
      </c>
      <c r="V45" s="5">
        <v>1</v>
      </c>
      <c r="W45" s="6">
        <v>1</v>
      </c>
      <c r="X45" s="5">
        <v>2</v>
      </c>
      <c r="Y45" s="5">
        <v>9.68</v>
      </c>
      <c r="Z45" s="5">
        <v>1.32</v>
      </c>
      <c r="AA45" s="16">
        <f t="shared" si="0"/>
        <v>1.6372504430003914</v>
      </c>
      <c r="AB45" s="5">
        <v>1.32</v>
      </c>
      <c r="AF45" s="22" t="s">
        <v>11</v>
      </c>
      <c r="AG45" s="5" t="s">
        <v>8</v>
      </c>
      <c r="AH45" s="5" t="s">
        <v>9</v>
      </c>
      <c r="AI45" s="5" t="s">
        <v>10</v>
      </c>
      <c r="AJ45" s="5">
        <v>2</v>
      </c>
      <c r="AK45" s="5">
        <v>9.68</v>
      </c>
      <c r="AL45" s="5">
        <v>1.32</v>
      </c>
      <c r="AM45" s="5">
        <f t="shared" si="1"/>
        <v>1.6372504430003914</v>
      </c>
    </row>
    <row r="46" spans="11:39" ht="15.75" thickBot="1">
      <c r="T46" s="5">
        <v>1</v>
      </c>
      <c r="U46" s="5">
        <v>2</v>
      </c>
      <c r="V46" s="5">
        <v>1</v>
      </c>
      <c r="W46" s="6">
        <v>1</v>
      </c>
      <c r="X46" s="5">
        <v>4</v>
      </c>
      <c r="Y46" s="5">
        <v>30.4</v>
      </c>
      <c r="Z46" s="5">
        <v>5.6</v>
      </c>
      <c r="AA46" s="16">
        <f t="shared" si="0"/>
        <v>3.9452377120918705</v>
      </c>
      <c r="AB46" s="5">
        <v>5.6</v>
      </c>
      <c r="AF46" s="22" t="s">
        <v>11</v>
      </c>
      <c r="AG46" s="5" t="s">
        <v>8</v>
      </c>
      <c r="AH46" s="5" t="s">
        <v>9</v>
      </c>
      <c r="AI46" s="5" t="s">
        <v>10</v>
      </c>
      <c r="AJ46" s="5">
        <v>4</v>
      </c>
      <c r="AK46" s="5">
        <v>30.4</v>
      </c>
      <c r="AL46" s="5">
        <v>5.6</v>
      </c>
      <c r="AM46" s="5">
        <f t="shared" si="1"/>
        <v>3.9452377120918705</v>
      </c>
    </row>
    <row r="47" spans="11:39" ht="15.75" thickBot="1">
      <c r="K47" s="13" t="s">
        <v>71</v>
      </c>
      <c r="T47" s="5">
        <v>1</v>
      </c>
      <c r="U47" s="5">
        <v>2</v>
      </c>
      <c r="V47" s="5">
        <v>1</v>
      </c>
      <c r="W47" s="6">
        <v>1</v>
      </c>
      <c r="X47" s="5">
        <v>2</v>
      </c>
      <c r="Y47" s="5">
        <v>18.29</v>
      </c>
      <c r="Z47" s="5">
        <v>3</v>
      </c>
      <c r="AA47" s="16">
        <f t="shared" si="0"/>
        <v>2.4472443951834029</v>
      </c>
      <c r="AB47" s="5">
        <v>3</v>
      </c>
      <c r="AF47" s="22" t="s">
        <v>11</v>
      </c>
      <c r="AG47" s="5" t="s">
        <v>8</v>
      </c>
      <c r="AH47" s="5" t="s">
        <v>9</v>
      </c>
      <c r="AI47" s="5" t="s">
        <v>10</v>
      </c>
      <c r="AJ47" s="5">
        <v>2</v>
      </c>
      <c r="AK47" s="5">
        <v>18.29</v>
      </c>
      <c r="AL47" s="5">
        <v>3</v>
      </c>
      <c r="AM47" s="5">
        <f t="shared" si="1"/>
        <v>2.4472443951834029</v>
      </c>
    </row>
    <row r="48" spans="11:39" ht="15.75" thickBot="1">
      <c r="K48" t="s">
        <v>72</v>
      </c>
      <c r="T48" s="5">
        <v>1</v>
      </c>
      <c r="U48" s="5">
        <v>2</v>
      </c>
      <c r="V48" s="5">
        <v>1</v>
      </c>
      <c r="W48" s="6">
        <v>1</v>
      </c>
      <c r="X48" s="5">
        <v>2</v>
      </c>
      <c r="Y48" s="5">
        <v>22.23</v>
      </c>
      <c r="Z48" s="5">
        <v>5</v>
      </c>
      <c r="AA48" s="16">
        <f t="shared" si="0"/>
        <v>2.817903648563318</v>
      </c>
      <c r="AB48" s="5">
        <v>5</v>
      </c>
      <c r="AF48" s="22" t="s">
        <v>11</v>
      </c>
      <c r="AG48" s="5" t="s">
        <v>8</v>
      </c>
      <c r="AH48" s="5" t="s">
        <v>9</v>
      </c>
      <c r="AI48" s="5" t="s">
        <v>10</v>
      </c>
      <c r="AJ48" s="5">
        <v>2</v>
      </c>
      <c r="AK48" s="5">
        <v>22.23</v>
      </c>
      <c r="AL48" s="5">
        <v>5</v>
      </c>
      <c r="AM48" s="5">
        <f t="shared" si="1"/>
        <v>2.817903648563318</v>
      </c>
    </row>
    <row r="49" spans="11:39" ht="15.75" thickBot="1">
      <c r="K49" s="14" t="s">
        <v>73</v>
      </c>
      <c r="T49" s="5">
        <v>1</v>
      </c>
      <c r="U49" s="5">
        <v>2</v>
      </c>
      <c r="V49" s="5">
        <v>1</v>
      </c>
      <c r="W49" s="6">
        <v>1</v>
      </c>
      <c r="X49" s="5">
        <v>4</v>
      </c>
      <c r="Y49" s="5">
        <v>32.4</v>
      </c>
      <c r="Z49" s="5">
        <v>6</v>
      </c>
      <c r="AA49" s="16">
        <f t="shared" si="0"/>
        <v>4.1333896173608631</v>
      </c>
      <c r="AB49" s="5">
        <v>6</v>
      </c>
      <c r="AF49" s="22" t="s">
        <v>11</v>
      </c>
      <c r="AG49" s="5" t="s">
        <v>8</v>
      </c>
      <c r="AH49" s="5" t="s">
        <v>9</v>
      </c>
      <c r="AI49" s="5" t="s">
        <v>10</v>
      </c>
      <c r="AJ49" s="5">
        <v>4</v>
      </c>
      <c r="AK49" s="5">
        <v>32.4</v>
      </c>
      <c r="AL49" s="5">
        <v>6</v>
      </c>
      <c r="AM49" s="5">
        <f t="shared" si="1"/>
        <v>4.1333896173608631</v>
      </c>
    </row>
    <row r="50" spans="11:39" ht="15.75" thickBot="1">
      <c r="K50" s="14" t="s">
        <v>74</v>
      </c>
      <c r="T50" s="5">
        <v>1</v>
      </c>
      <c r="U50" s="5">
        <v>2</v>
      </c>
      <c r="V50" s="5">
        <v>1</v>
      </c>
      <c r="W50" s="6">
        <v>1</v>
      </c>
      <c r="X50" s="5">
        <v>3</v>
      </c>
      <c r="Y50" s="5">
        <v>28.55</v>
      </c>
      <c r="Z50" s="5">
        <v>2.0499999999999998</v>
      </c>
      <c r="AA50" s="16">
        <f t="shared" si="0"/>
        <v>3.5918304344656935</v>
      </c>
      <c r="AB50" s="5">
        <v>2.0499999999999998</v>
      </c>
      <c r="AF50" s="22" t="s">
        <v>11</v>
      </c>
      <c r="AG50" s="5" t="s">
        <v>8</v>
      </c>
      <c r="AH50" s="5" t="s">
        <v>9</v>
      </c>
      <c r="AI50" s="5" t="s">
        <v>10</v>
      </c>
      <c r="AJ50" s="5">
        <v>3</v>
      </c>
      <c r="AK50" s="5">
        <v>28.55</v>
      </c>
      <c r="AL50" s="5">
        <v>2.0499999999999998</v>
      </c>
      <c r="AM50" s="5">
        <f t="shared" si="1"/>
        <v>3.5918304344656935</v>
      </c>
    </row>
    <row r="51" spans="11:39" ht="15.75" thickBot="1">
      <c r="K51" s="14" t="s">
        <v>75</v>
      </c>
      <c r="T51" s="5">
        <v>1</v>
      </c>
      <c r="U51" s="5">
        <v>2</v>
      </c>
      <c r="V51" s="5">
        <v>1</v>
      </c>
      <c r="W51" s="6">
        <v>1</v>
      </c>
      <c r="X51" s="5">
        <v>2</v>
      </c>
      <c r="Y51" s="5">
        <v>18.04</v>
      </c>
      <c r="Z51" s="5">
        <v>3</v>
      </c>
      <c r="AA51" s="16">
        <f t="shared" si="0"/>
        <v>2.4237254070247793</v>
      </c>
      <c r="AB51" s="5">
        <v>3</v>
      </c>
      <c r="AF51" s="22" t="s">
        <v>11</v>
      </c>
      <c r="AG51" s="5" t="s">
        <v>8</v>
      </c>
      <c r="AH51" s="5" t="s">
        <v>9</v>
      </c>
      <c r="AI51" s="5" t="s">
        <v>10</v>
      </c>
      <c r="AJ51" s="5">
        <v>2</v>
      </c>
      <c r="AK51" s="5">
        <v>18.04</v>
      </c>
      <c r="AL51" s="5">
        <v>3</v>
      </c>
      <c r="AM51" s="5">
        <f t="shared" si="1"/>
        <v>2.4237254070247793</v>
      </c>
    </row>
    <row r="52" spans="11:39" ht="15.75" thickBot="1">
      <c r="K52" s="14" t="s">
        <v>76</v>
      </c>
      <c r="T52" s="5">
        <v>1</v>
      </c>
      <c r="U52" s="5">
        <v>2</v>
      </c>
      <c r="V52" s="5">
        <v>1</v>
      </c>
      <c r="W52" s="6">
        <v>1</v>
      </c>
      <c r="X52" s="5">
        <v>2</v>
      </c>
      <c r="Y52" s="5">
        <v>12.54</v>
      </c>
      <c r="Z52" s="5">
        <v>2.5</v>
      </c>
      <c r="AA52" s="16">
        <f t="shared" si="0"/>
        <v>1.9063076675350501</v>
      </c>
      <c r="AB52" s="5">
        <v>2.5</v>
      </c>
      <c r="AF52" s="22" t="s">
        <v>11</v>
      </c>
      <c r="AG52" s="5" t="s">
        <v>8</v>
      </c>
      <c r="AH52" s="5" t="s">
        <v>9</v>
      </c>
      <c r="AI52" s="5" t="s">
        <v>10</v>
      </c>
      <c r="AJ52" s="5">
        <v>2</v>
      </c>
      <c r="AK52" s="5">
        <v>12.54</v>
      </c>
      <c r="AL52" s="5">
        <v>2.5</v>
      </c>
      <c r="AM52" s="5">
        <f t="shared" si="1"/>
        <v>1.9063076675350501</v>
      </c>
    </row>
    <row r="53" spans="11:39" ht="15.75" thickBot="1">
      <c r="K53" s="14" t="s">
        <v>77</v>
      </c>
      <c r="T53" s="5">
        <v>2</v>
      </c>
      <c r="U53" s="5">
        <v>2</v>
      </c>
      <c r="V53" s="5">
        <v>1</v>
      </c>
      <c r="W53" s="6">
        <v>1</v>
      </c>
      <c r="X53" s="5">
        <v>2</v>
      </c>
      <c r="Y53" s="5">
        <v>10.29</v>
      </c>
      <c r="Z53" s="5">
        <v>2.6</v>
      </c>
      <c r="AA53" s="16">
        <f t="shared" si="0"/>
        <v>1.7238528574453791</v>
      </c>
      <c r="AB53" s="5">
        <v>2.6</v>
      </c>
      <c r="AF53" s="22" t="s">
        <v>7</v>
      </c>
      <c r="AG53" s="5" t="s">
        <v>8</v>
      </c>
      <c r="AH53" s="5" t="s">
        <v>9</v>
      </c>
      <c r="AI53" s="5" t="s">
        <v>10</v>
      </c>
      <c r="AJ53" s="5">
        <v>2</v>
      </c>
      <c r="AK53" s="5">
        <v>10.29</v>
      </c>
      <c r="AL53" s="5">
        <v>2.6</v>
      </c>
      <c r="AM53" s="5">
        <f t="shared" si="1"/>
        <v>1.7238528574453791</v>
      </c>
    </row>
    <row r="54" spans="11:39" ht="15.75" thickBot="1">
      <c r="K54" s="14" t="s">
        <v>78</v>
      </c>
      <c r="T54" s="5">
        <v>2</v>
      </c>
      <c r="U54" s="5">
        <v>2</v>
      </c>
      <c r="V54" s="5">
        <v>1</v>
      </c>
      <c r="W54" s="6">
        <v>1</v>
      </c>
      <c r="X54" s="5">
        <v>4</v>
      </c>
      <c r="Y54" s="5">
        <v>34.81</v>
      </c>
      <c r="Z54" s="5">
        <v>5.2</v>
      </c>
      <c r="AA54" s="16">
        <f t="shared" si="0"/>
        <v>4.3893287465479442</v>
      </c>
      <c r="AB54" s="5">
        <v>5.2</v>
      </c>
      <c r="AF54" s="22" t="s">
        <v>7</v>
      </c>
      <c r="AG54" s="5" t="s">
        <v>8</v>
      </c>
      <c r="AH54" s="5" t="s">
        <v>9</v>
      </c>
      <c r="AI54" s="5" t="s">
        <v>10</v>
      </c>
      <c r="AJ54" s="5">
        <v>4</v>
      </c>
      <c r="AK54" s="5">
        <v>34.81</v>
      </c>
      <c r="AL54" s="5">
        <v>5.2</v>
      </c>
      <c r="AM54" s="5">
        <f t="shared" si="1"/>
        <v>4.3893287465479442</v>
      </c>
    </row>
    <row r="55" spans="11:39" ht="15.75" thickBot="1">
      <c r="K55" s="14" t="s">
        <v>79</v>
      </c>
      <c r="T55" s="5">
        <v>1</v>
      </c>
      <c r="U55" s="5">
        <v>2</v>
      </c>
      <c r="V55" s="5">
        <v>1</v>
      </c>
      <c r="W55" s="6">
        <v>1</v>
      </c>
      <c r="X55" s="5">
        <v>2</v>
      </c>
      <c r="Y55" s="5">
        <v>9.94</v>
      </c>
      <c r="Z55" s="5">
        <v>1.56</v>
      </c>
      <c r="AA55" s="16">
        <f t="shared" si="0"/>
        <v>1.6617101906853602</v>
      </c>
      <c r="AB55" s="5">
        <v>1.56</v>
      </c>
      <c r="AF55" s="22" t="s">
        <v>11</v>
      </c>
      <c r="AG55" s="5" t="s">
        <v>8</v>
      </c>
      <c r="AH55" s="5" t="s">
        <v>9</v>
      </c>
      <c r="AI55" s="5" t="s">
        <v>10</v>
      </c>
      <c r="AJ55" s="5">
        <v>2</v>
      </c>
      <c r="AK55" s="5">
        <v>9.94</v>
      </c>
      <c r="AL55" s="5">
        <v>1.56</v>
      </c>
      <c r="AM55" s="5">
        <f t="shared" si="1"/>
        <v>1.6617101906853602</v>
      </c>
    </row>
    <row r="56" spans="11:39" ht="15.75" thickBot="1">
      <c r="K56" t="s">
        <v>80</v>
      </c>
      <c r="T56" s="5">
        <v>1</v>
      </c>
      <c r="U56" s="5">
        <v>2</v>
      </c>
      <c r="V56" s="5">
        <v>1</v>
      </c>
      <c r="W56" s="6">
        <v>1</v>
      </c>
      <c r="X56" s="5">
        <v>4</v>
      </c>
      <c r="Y56" s="5">
        <v>25.56</v>
      </c>
      <c r="Z56" s="5">
        <v>4.34</v>
      </c>
      <c r="AA56" s="16">
        <f t="shared" si="0"/>
        <v>3.4899101013409091</v>
      </c>
      <c r="AB56" s="5">
        <v>4.34</v>
      </c>
      <c r="AF56" s="22" t="s">
        <v>11</v>
      </c>
      <c r="AG56" s="5" t="s">
        <v>8</v>
      </c>
      <c r="AH56" s="5" t="s">
        <v>9</v>
      </c>
      <c r="AI56" s="5" t="s">
        <v>10</v>
      </c>
      <c r="AJ56" s="5">
        <v>4</v>
      </c>
      <c r="AK56" s="5">
        <v>25.56</v>
      </c>
      <c r="AL56" s="5">
        <v>4.34</v>
      </c>
      <c r="AM56" s="5">
        <f t="shared" si="1"/>
        <v>3.4899101013409091</v>
      </c>
    </row>
    <row r="57" spans="11:39" ht="15.75" thickBot="1">
      <c r="K57" s="15" t="s">
        <v>81</v>
      </c>
      <c r="T57" s="5">
        <v>1</v>
      </c>
      <c r="U57" s="5">
        <v>2</v>
      </c>
      <c r="V57" s="5">
        <v>1</v>
      </c>
      <c r="W57" s="6">
        <v>1</v>
      </c>
      <c r="X57" s="5">
        <v>2</v>
      </c>
      <c r="Y57" s="5">
        <v>19.489999999999998</v>
      </c>
      <c r="Z57" s="5">
        <v>3.51</v>
      </c>
      <c r="AA57" s="16">
        <f t="shared" si="0"/>
        <v>2.5601355383447988</v>
      </c>
      <c r="AB57" s="5">
        <v>3.51</v>
      </c>
      <c r="AF57" s="22" t="s">
        <v>11</v>
      </c>
      <c r="AG57" s="5" t="s">
        <v>8</v>
      </c>
      <c r="AH57" s="5" t="s">
        <v>9</v>
      </c>
      <c r="AI57" s="5" t="s">
        <v>10</v>
      </c>
      <c r="AJ57" s="5">
        <v>2</v>
      </c>
      <c r="AK57" s="5">
        <v>19.489999999999998</v>
      </c>
      <c r="AL57" s="5">
        <v>3.51</v>
      </c>
      <c r="AM57" s="5">
        <f t="shared" si="1"/>
        <v>2.5601355383447988</v>
      </c>
    </row>
    <row r="58" spans="11:39" ht="15.75" thickBot="1">
      <c r="K58" s="13" t="s">
        <v>82</v>
      </c>
      <c r="T58" s="5">
        <v>1</v>
      </c>
      <c r="U58" s="5">
        <v>1</v>
      </c>
      <c r="V58" s="5">
        <v>2</v>
      </c>
      <c r="W58" s="6">
        <v>1</v>
      </c>
      <c r="X58" s="5">
        <v>4</v>
      </c>
      <c r="Y58" s="5">
        <v>38.01</v>
      </c>
      <c r="Z58" s="5">
        <v>3</v>
      </c>
      <c r="AA58" s="16">
        <f t="shared" si="0"/>
        <v>4.7343623982436611</v>
      </c>
      <c r="AB58" s="5">
        <v>3</v>
      </c>
      <c r="AF58" s="22" t="s">
        <v>11</v>
      </c>
      <c r="AG58" s="5" t="s">
        <v>22</v>
      </c>
      <c r="AH58" s="5" t="s">
        <v>21</v>
      </c>
      <c r="AI58" s="5" t="s">
        <v>10</v>
      </c>
      <c r="AJ58" s="5">
        <v>4</v>
      </c>
      <c r="AK58" s="5">
        <v>38.01</v>
      </c>
      <c r="AL58" s="5">
        <v>3</v>
      </c>
      <c r="AM58" s="5">
        <f t="shared" si="1"/>
        <v>4.7343623982436611</v>
      </c>
    </row>
    <row r="59" spans="11:39" ht="15.75" thickBot="1">
      <c r="K59" t="s">
        <v>83</v>
      </c>
      <c r="T59" s="5">
        <v>2</v>
      </c>
      <c r="U59" s="5">
        <v>2</v>
      </c>
      <c r="V59" s="5">
        <v>2</v>
      </c>
      <c r="W59" s="6">
        <v>1</v>
      </c>
      <c r="X59" s="5">
        <v>2</v>
      </c>
      <c r="Y59" s="5">
        <v>26.41</v>
      </c>
      <c r="Z59" s="5">
        <v>1.5</v>
      </c>
      <c r="AA59" s="16">
        <f t="shared" si="0"/>
        <v>3.232523392917912</v>
      </c>
      <c r="AB59" s="5">
        <v>1.5</v>
      </c>
      <c r="AF59" s="22" t="s">
        <v>7</v>
      </c>
      <c r="AG59" s="5" t="s">
        <v>8</v>
      </c>
      <c r="AH59" s="5" t="s">
        <v>21</v>
      </c>
      <c r="AI59" s="5" t="s">
        <v>10</v>
      </c>
      <c r="AJ59" s="5">
        <v>2</v>
      </c>
      <c r="AK59" s="5">
        <v>26.41</v>
      </c>
      <c r="AL59" s="5">
        <v>1.5</v>
      </c>
      <c r="AM59" s="5">
        <f t="shared" si="1"/>
        <v>3.232523392917912</v>
      </c>
    </row>
    <row r="60" spans="11:39" ht="15.75" thickBot="1">
      <c r="K60" s="13" t="s">
        <v>71</v>
      </c>
      <c r="T60" s="5">
        <v>1</v>
      </c>
      <c r="U60" s="5">
        <v>1</v>
      </c>
      <c r="V60" s="5">
        <v>2</v>
      </c>
      <c r="W60" s="6">
        <v>1</v>
      </c>
      <c r="X60" s="5">
        <v>2</v>
      </c>
      <c r="Y60" s="5">
        <v>11.24</v>
      </c>
      <c r="Z60" s="5">
        <v>1.76</v>
      </c>
      <c r="AA60" s="16">
        <f t="shared" si="0"/>
        <v>1.8572156157134805</v>
      </c>
      <c r="AB60" s="5">
        <v>1.76</v>
      </c>
      <c r="AF60" s="22" t="s">
        <v>11</v>
      </c>
      <c r="AG60" s="5" t="s">
        <v>22</v>
      </c>
      <c r="AH60" s="5" t="s">
        <v>21</v>
      </c>
      <c r="AI60" s="5" t="s">
        <v>10</v>
      </c>
      <c r="AJ60" s="5">
        <v>2</v>
      </c>
      <c r="AK60" s="5">
        <v>11.24</v>
      </c>
      <c r="AL60" s="5">
        <v>1.76</v>
      </c>
      <c r="AM60" s="5">
        <f t="shared" si="1"/>
        <v>1.8572156157134805</v>
      </c>
    </row>
    <row r="61" spans="11:39" ht="15.75" thickBot="1">
      <c r="K61" t="s">
        <v>84</v>
      </c>
      <c r="T61" s="5">
        <v>1</v>
      </c>
      <c r="U61" s="5">
        <v>2</v>
      </c>
      <c r="V61" s="5">
        <v>2</v>
      </c>
      <c r="W61" s="6">
        <v>1</v>
      </c>
      <c r="X61" s="5">
        <v>4</v>
      </c>
      <c r="Y61" s="5">
        <v>48.27</v>
      </c>
      <c r="Z61" s="5">
        <v>6.73</v>
      </c>
      <c r="AA61" s="16">
        <f t="shared" si="0"/>
        <v>5.618541164674772</v>
      </c>
      <c r="AB61" s="5">
        <v>6.73</v>
      </c>
      <c r="AF61" s="22" t="s">
        <v>11</v>
      </c>
      <c r="AG61" s="5" t="s">
        <v>8</v>
      </c>
      <c r="AH61" s="5" t="s">
        <v>21</v>
      </c>
      <c r="AI61" s="5" t="s">
        <v>10</v>
      </c>
      <c r="AJ61" s="5">
        <v>4</v>
      </c>
      <c r="AK61" s="5">
        <v>48.27</v>
      </c>
      <c r="AL61" s="5">
        <v>6.73</v>
      </c>
      <c r="AM61" s="5">
        <f t="shared" si="1"/>
        <v>5.618541164674772</v>
      </c>
    </row>
    <row r="62" spans="11:39" ht="15.75" thickBot="1">
      <c r="K62" s="15" t="s">
        <v>85</v>
      </c>
      <c r="T62" s="5">
        <v>1</v>
      </c>
      <c r="U62" s="5">
        <v>1</v>
      </c>
      <c r="V62" s="5">
        <v>2</v>
      </c>
      <c r="W62" s="6">
        <v>1</v>
      </c>
      <c r="X62" s="5">
        <v>2</v>
      </c>
      <c r="Y62" s="5">
        <v>20.29</v>
      </c>
      <c r="Z62" s="5">
        <v>3.21</v>
      </c>
      <c r="AA62" s="16">
        <f t="shared" si="0"/>
        <v>2.7086029870556709</v>
      </c>
      <c r="AB62" s="5">
        <v>3.21</v>
      </c>
      <c r="AF62" s="22" t="s">
        <v>11</v>
      </c>
      <c r="AG62" s="5" t="s">
        <v>22</v>
      </c>
      <c r="AH62" s="5" t="s">
        <v>21</v>
      </c>
      <c r="AI62" s="5" t="s">
        <v>10</v>
      </c>
      <c r="AJ62" s="5">
        <v>2</v>
      </c>
      <c r="AK62" s="5">
        <v>20.29</v>
      </c>
      <c r="AL62" s="5">
        <v>3.21</v>
      </c>
      <c r="AM62" s="5">
        <f t="shared" si="1"/>
        <v>2.7086029870556709</v>
      </c>
    </row>
    <row r="63" spans="11:39" ht="15.75" thickBot="1">
      <c r="K63" s="15" t="s">
        <v>86</v>
      </c>
      <c r="T63" s="5">
        <v>1</v>
      </c>
      <c r="U63" s="5">
        <v>1</v>
      </c>
      <c r="V63" s="5">
        <v>2</v>
      </c>
      <c r="W63" s="6">
        <v>1</v>
      </c>
      <c r="X63" s="5">
        <v>2</v>
      </c>
      <c r="Y63" s="5">
        <v>13.81</v>
      </c>
      <c r="Z63" s="5">
        <v>2</v>
      </c>
      <c r="AA63" s="16">
        <f t="shared" si="0"/>
        <v>2.0989908139841358</v>
      </c>
      <c r="AB63" s="5">
        <v>2</v>
      </c>
      <c r="AF63" s="22" t="s">
        <v>11</v>
      </c>
      <c r="AG63" s="5" t="s">
        <v>22</v>
      </c>
      <c r="AH63" s="5" t="s">
        <v>21</v>
      </c>
      <c r="AI63" s="5" t="s">
        <v>10</v>
      </c>
      <c r="AJ63" s="5">
        <v>2</v>
      </c>
      <c r="AK63" s="5">
        <v>13.81</v>
      </c>
      <c r="AL63" s="5">
        <v>2</v>
      </c>
      <c r="AM63" s="5">
        <f t="shared" si="1"/>
        <v>2.0989908139841358</v>
      </c>
    </row>
    <row r="64" spans="11:39" ht="15.75" thickBot="1">
      <c r="K64" s="15" t="s">
        <v>87</v>
      </c>
      <c r="T64" s="5">
        <v>1</v>
      </c>
      <c r="U64" s="5">
        <v>1</v>
      </c>
      <c r="V64" s="5">
        <v>2</v>
      </c>
      <c r="W64" s="6">
        <v>1</v>
      </c>
      <c r="X64" s="5">
        <v>2</v>
      </c>
      <c r="Y64" s="5">
        <v>11.02</v>
      </c>
      <c r="Z64" s="5">
        <v>1.98</v>
      </c>
      <c r="AA64" s="16">
        <f t="shared" si="0"/>
        <v>1.8365189061338913</v>
      </c>
      <c r="AB64" s="5">
        <v>1.98</v>
      </c>
      <c r="AF64" s="22" t="s">
        <v>11</v>
      </c>
      <c r="AG64" s="5" t="s">
        <v>22</v>
      </c>
      <c r="AH64" s="5" t="s">
        <v>21</v>
      </c>
      <c r="AI64" s="5" t="s">
        <v>10</v>
      </c>
      <c r="AJ64" s="5">
        <v>2</v>
      </c>
      <c r="AK64" s="5">
        <v>11.02</v>
      </c>
      <c r="AL64" s="5">
        <v>1.98</v>
      </c>
      <c r="AM64" s="5">
        <f t="shared" si="1"/>
        <v>1.8365189061338913</v>
      </c>
    </row>
    <row r="65" spans="11:39" ht="15.75" thickBot="1">
      <c r="K65" t="s">
        <v>88</v>
      </c>
      <c r="T65" s="5">
        <v>1</v>
      </c>
      <c r="U65" s="5">
        <v>1</v>
      </c>
      <c r="V65" s="5">
        <v>2</v>
      </c>
      <c r="W65" s="6">
        <v>1</v>
      </c>
      <c r="X65" s="5">
        <v>4</v>
      </c>
      <c r="Y65" s="5">
        <v>18.29</v>
      </c>
      <c r="Z65" s="5">
        <v>3.76</v>
      </c>
      <c r="AA65" s="16">
        <f t="shared" si="0"/>
        <v>2.8791846122913971</v>
      </c>
      <c r="AB65" s="5">
        <v>3.76</v>
      </c>
      <c r="AF65" s="22" t="s">
        <v>11</v>
      </c>
      <c r="AG65" s="5" t="s">
        <v>22</v>
      </c>
      <c r="AH65" s="5" t="s">
        <v>21</v>
      </c>
      <c r="AI65" s="5" t="s">
        <v>10</v>
      </c>
      <c r="AJ65" s="5">
        <v>4</v>
      </c>
      <c r="AK65" s="5">
        <v>18.29</v>
      </c>
      <c r="AL65" s="5">
        <v>3.76</v>
      </c>
      <c r="AM65" s="5">
        <f t="shared" si="1"/>
        <v>2.8791846122913971</v>
      </c>
    </row>
    <row r="66" spans="11:39" ht="15.75" thickBot="1">
      <c r="K66" s="13" t="s">
        <v>89</v>
      </c>
      <c r="T66" s="5">
        <v>1</v>
      </c>
      <c r="U66" s="5">
        <v>2</v>
      </c>
      <c r="V66" s="5">
        <v>2</v>
      </c>
      <c r="W66" s="6">
        <v>1</v>
      </c>
      <c r="X66" s="5">
        <v>3</v>
      </c>
      <c r="Y66" s="5">
        <v>17.59</v>
      </c>
      <c r="Z66" s="5">
        <v>2.64</v>
      </c>
      <c r="AA66" s="16">
        <f t="shared" si="0"/>
        <v>2.5529241725960699</v>
      </c>
      <c r="AB66" s="5">
        <v>2.64</v>
      </c>
      <c r="AF66" s="22" t="s">
        <v>11</v>
      </c>
      <c r="AG66" s="5" t="s">
        <v>8</v>
      </c>
      <c r="AH66" s="5" t="s">
        <v>21</v>
      </c>
      <c r="AI66" s="5" t="s">
        <v>10</v>
      </c>
      <c r="AJ66" s="5">
        <v>3</v>
      </c>
      <c r="AK66" s="5">
        <v>17.59</v>
      </c>
      <c r="AL66" s="5">
        <v>2.64</v>
      </c>
      <c r="AM66" s="5">
        <f t="shared" si="1"/>
        <v>2.5529241725960699</v>
      </c>
    </row>
    <row r="67" spans="11:39" ht="15.75" thickBot="1">
      <c r="K67" s="12" t="s">
        <v>90</v>
      </c>
      <c r="T67" s="5">
        <v>1</v>
      </c>
      <c r="U67" s="5">
        <v>2</v>
      </c>
      <c r="V67" s="5">
        <v>2</v>
      </c>
      <c r="W67" s="6">
        <v>1</v>
      </c>
      <c r="X67" s="5">
        <v>3</v>
      </c>
      <c r="Y67" s="5">
        <v>20.079999999999998</v>
      </c>
      <c r="Z67" s="5">
        <v>3.15</v>
      </c>
      <c r="AA67" s="16">
        <f t="shared" ref="AA67:AA130" si="2" xml:space="preserve"> $L$27+ $T67*($L$30) - $U67*($L$31) + $V67*($L$32) - $W67*($L$33) + $X67*($L$28) + $Y67*($L$29)</f>
        <v>2.7871732946559655</v>
      </c>
      <c r="AB67" s="5">
        <v>3.15</v>
      </c>
      <c r="AF67" s="22" t="s">
        <v>11</v>
      </c>
      <c r="AG67" s="5" t="s">
        <v>8</v>
      </c>
      <c r="AH67" s="5" t="s">
        <v>21</v>
      </c>
      <c r="AI67" s="5" t="s">
        <v>10</v>
      </c>
      <c r="AJ67" s="5">
        <v>3</v>
      </c>
      <c r="AK67" s="5">
        <v>20.079999999999998</v>
      </c>
      <c r="AL67" s="5">
        <v>3.15</v>
      </c>
      <c r="AM67" s="5">
        <f t="shared" ref="AM67:AM130" si="3" xml:space="preserve"> $L$27+ $T67*($L$30) - $U67*($L$31) + $V67*($L$32) - $W67*($L$33) + $X67*($L$28) + $Y67*($L$29)</f>
        <v>2.7871732946559655</v>
      </c>
    </row>
    <row r="68" spans="11:39" ht="15.75" thickBot="1">
      <c r="K68" s="12" t="s">
        <v>91</v>
      </c>
      <c r="T68" s="5">
        <v>2</v>
      </c>
      <c r="U68" s="5">
        <v>2</v>
      </c>
      <c r="V68" s="5">
        <v>2</v>
      </c>
      <c r="W68" s="6">
        <v>1</v>
      </c>
      <c r="X68" s="5">
        <v>2</v>
      </c>
      <c r="Y68" s="5">
        <v>16.45</v>
      </c>
      <c r="Z68" s="5">
        <v>2.4700000000000002</v>
      </c>
      <c r="AA68" s="16">
        <f t="shared" si="2"/>
        <v>2.2955269046783302</v>
      </c>
      <c r="AB68" s="5">
        <v>2.4700000000000002</v>
      </c>
      <c r="AF68" s="22" t="s">
        <v>7</v>
      </c>
      <c r="AG68" s="5" t="s">
        <v>8</v>
      </c>
      <c r="AH68" s="5" t="s">
        <v>21</v>
      </c>
      <c r="AI68" s="5" t="s">
        <v>10</v>
      </c>
      <c r="AJ68" s="5">
        <v>2</v>
      </c>
      <c r="AK68" s="5">
        <v>16.45</v>
      </c>
      <c r="AL68" s="5">
        <v>2.4700000000000002</v>
      </c>
      <c r="AM68" s="5">
        <f t="shared" si="3"/>
        <v>2.2955269046783302</v>
      </c>
    </row>
    <row r="69" spans="11:39" ht="15.75" thickBot="1">
      <c r="K69" t="s">
        <v>92</v>
      </c>
      <c r="T69" s="5">
        <v>2</v>
      </c>
      <c r="U69" s="5">
        <v>1</v>
      </c>
      <c r="V69" s="5">
        <v>2</v>
      </c>
      <c r="W69" s="6">
        <v>1</v>
      </c>
      <c r="X69" s="5">
        <v>1</v>
      </c>
      <c r="Y69" s="5">
        <v>3.07</v>
      </c>
      <c r="Z69" s="5">
        <v>1</v>
      </c>
      <c r="AA69" s="16">
        <f t="shared" si="2"/>
        <v>0.93846440077523263</v>
      </c>
      <c r="AB69" s="5">
        <v>1</v>
      </c>
      <c r="AF69" s="22" t="s">
        <v>7</v>
      </c>
      <c r="AG69" s="5" t="s">
        <v>22</v>
      </c>
      <c r="AH69" s="5" t="s">
        <v>21</v>
      </c>
      <c r="AI69" s="5" t="s">
        <v>10</v>
      </c>
      <c r="AJ69" s="5">
        <v>1</v>
      </c>
      <c r="AK69" s="5">
        <v>3.07</v>
      </c>
      <c r="AL69" s="5">
        <v>1</v>
      </c>
      <c r="AM69" s="5">
        <f t="shared" si="3"/>
        <v>0.93846440077523263</v>
      </c>
    </row>
    <row r="70" spans="11:39" ht="15.75" thickBot="1">
      <c r="T70" s="5">
        <v>1</v>
      </c>
      <c r="U70" s="5">
        <v>2</v>
      </c>
      <c r="V70" s="5">
        <v>2</v>
      </c>
      <c r="W70" s="6">
        <v>1</v>
      </c>
      <c r="X70" s="5">
        <v>2</v>
      </c>
      <c r="Y70" s="5">
        <v>20.23</v>
      </c>
      <c r="Z70" s="5">
        <v>2.0099999999999998</v>
      </c>
      <c r="AA70" s="16">
        <f t="shared" si="2"/>
        <v>2.6219179222987803</v>
      </c>
      <c r="AB70" s="5">
        <v>2.0099999999999998</v>
      </c>
      <c r="AF70" s="22" t="s">
        <v>11</v>
      </c>
      <c r="AG70" s="5" t="s">
        <v>8</v>
      </c>
      <c r="AH70" s="5" t="s">
        <v>21</v>
      </c>
      <c r="AI70" s="5" t="s">
        <v>10</v>
      </c>
      <c r="AJ70" s="5">
        <v>2</v>
      </c>
      <c r="AK70" s="5">
        <v>20.23</v>
      </c>
      <c r="AL70" s="5">
        <v>2.0099999999999998</v>
      </c>
      <c r="AM70" s="5">
        <f t="shared" si="3"/>
        <v>2.6219179222987803</v>
      </c>
    </row>
    <row r="71" spans="11:39" ht="15.75" thickBot="1">
      <c r="T71" s="5">
        <v>1</v>
      </c>
      <c r="U71" s="5">
        <v>1</v>
      </c>
      <c r="V71" s="5">
        <v>2</v>
      </c>
      <c r="W71" s="6">
        <v>1</v>
      </c>
      <c r="X71" s="5">
        <v>2</v>
      </c>
      <c r="Y71" s="5">
        <v>15.01</v>
      </c>
      <c r="Z71" s="5">
        <v>2.09</v>
      </c>
      <c r="AA71" s="16">
        <f t="shared" si="2"/>
        <v>2.2118819571455308</v>
      </c>
      <c r="AB71" s="5">
        <v>2.09</v>
      </c>
      <c r="AF71" s="22" t="s">
        <v>11</v>
      </c>
      <c r="AG71" s="5" t="s">
        <v>22</v>
      </c>
      <c r="AH71" s="5" t="s">
        <v>21</v>
      </c>
      <c r="AI71" s="5" t="s">
        <v>10</v>
      </c>
      <c r="AJ71" s="5">
        <v>2</v>
      </c>
      <c r="AK71" s="5">
        <v>15.01</v>
      </c>
      <c r="AL71" s="5">
        <v>2.09</v>
      </c>
      <c r="AM71" s="5">
        <f t="shared" si="3"/>
        <v>2.2118819571455308</v>
      </c>
    </row>
    <row r="72" spans="11:39" ht="15.75" thickBot="1">
      <c r="T72" s="5">
        <v>1</v>
      </c>
      <c r="U72" s="5">
        <v>2</v>
      </c>
      <c r="V72" s="5">
        <v>2</v>
      </c>
      <c r="W72" s="6">
        <v>1</v>
      </c>
      <c r="X72" s="5">
        <v>2</v>
      </c>
      <c r="Y72" s="5">
        <v>12.02</v>
      </c>
      <c r="Z72" s="5">
        <v>1.97</v>
      </c>
      <c r="AA72" s="16">
        <f t="shared" si="2"/>
        <v>1.8495543511695669</v>
      </c>
      <c r="AB72" s="5">
        <v>1.97</v>
      </c>
      <c r="AF72" s="22" t="s">
        <v>11</v>
      </c>
      <c r="AG72" s="5" t="s">
        <v>8</v>
      </c>
      <c r="AH72" s="5" t="s">
        <v>21</v>
      </c>
      <c r="AI72" s="5" t="s">
        <v>10</v>
      </c>
      <c r="AJ72" s="5">
        <v>2</v>
      </c>
      <c r="AK72" s="5">
        <v>12.02</v>
      </c>
      <c r="AL72" s="5">
        <v>1.97</v>
      </c>
      <c r="AM72" s="5">
        <f t="shared" si="3"/>
        <v>1.8495543511695669</v>
      </c>
    </row>
    <row r="73" spans="11:39" ht="15.75" thickBot="1">
      <c r="T73" s="5">
        <v>2</v>
      </c>
      <c r="U73" s="5">
        <v>2</v>
      </c>
      <c r="V73" s="5">
        <v>2</v>
      </c>
      <c r="W73" s="6">
        <v>1</v>
      </c>
      <c r="X73" s="5">
        <v>3</v>
      </c>
      <c r="Y73" s="5">
        <v>17.07</v>
      </c>
      <c r="Z73" s="5">
        <v>3</v>
      </c>
      <c r="AA73" s="16">
        <f t="shared" si="2"/>
        <v>2.5332207605640771</v>
      </c>
      <c r="AB73" s="5">
        <v>3</v>
      </c>
      <c r="AF73" s="22" t="s">
        <v>7</v>
      </c>
      <c r="AG73" s="5" t="s">
        <v>8</v>
      </c>
      <c r="AH73" s="5" t="s">
        <v>21</v>
      </c>
      <c r="AI73" s="5" t="s">
        <v>10</v>
      </c>
      <c r="AJ73" s="5">
        <v>3</v>
      </c>
      <c r="AK73" s="5">
        <v>17.07</v>
      </c>
      <c r="AL73" s="5">
        <v>3</v>
      </c>
      <c r="AM73" s="5">
        <f t="shared" si="3"/>
        <v>2.5332207605640771</v>
      </c>
    </row>
    <row r="74" spans="11:39" ht="15.75" thickBot="1">
      <c r="T74" s="5">
        <v>2</v>
      </c>
      <c r="U74" s="5">
        <v>1</v>
      </c>
      <c r="V74" s="5">
        <v>2</v>
      </c>
      <c r="W74" s="6">
        <v>1</v>
      </c>
      <c r="X74" s="5">
        <v>2</v>
      </c>
      <c r="Y74" s="5">
        <v>26.86</v>
      </c>
      <c r="Z74" s="5">
        <v>3.14</v>
      </c>
      <c r="AA74" s="16">
        <f t="shared" si="2"/>
        <v>3.3558980792022561</v>
      </c>
      <c r="AB74" s="5">
        <v>3.14</v>
      </c>
      <c r="AF74" s="22" t="s">
        <v>7</v>
      </c>
      <c r="AG74" s="5" t="s">
        <v>22</v>
      </c>
      <c r="AH74" s="5" t="s">
        <v>21</v>
      </c>
      <c r="AI74" s="5" t="s">
        <v>10</v>
      </c>
      <c r="AJ74" s="5">
        <v>2</v>
      </c>
      <c r="AK74" s="5">
        <v>26.86</v>
      </c>
      <c r="AL74" s="5">
        <v>3.14</v>
      </c>
      <c r="AM74" s="5">
        <f t="shared" si="3"/>
        <v>3.3558980792022561</v>
      </c>
    </row>
    <row r="75" spans="11:39" ht="15.75" thickBot="1">
      <c r="T75" s="5">
        <v>2</v>
      </c>
      <c r="U75" s="5">
        <v>1</v>
      </c>
      <c r="V75" s="5">
        <v>2</v>
      </c>
      <c r="W75" s="6">
        <v>1</v>
      </c>
      <c r="X75" s="5">
        <v>2</v>
      </c>
      <c r="Y75" s="5">
        <v>25.28</v>
      </c>
      <c r="Z75" s="5">
        <v>5</v>
      </c>
      <c r="AA75" s="16">
        <f t="shared" si="2"/>
        <v>3.2072580740397516</v>
      </c>
      <c r="AB75" s="5">
        <v>5</v>
      </c>
      <c r="AF75" s="22" t="s">
        <v>7</v>
      </c>
      <c r="AG75" s="5" t="s">
        <v>22</v>
      </c>
      <c r="AH75" s="5" t="s">
        <v>21</v>
      </c>
      <c r="AI75" s="5" t="s">
        <v>10</v>
      </c>
      <c r="AJ75" s="5">
        <v>2</v>
      </c>
      <c r="AK75" s="5">
        <v>25.28</v>
      </c>
      <c r="AL75" s="5">
        <v>5</v>
      </c>
      <c r="AM75" s="5">
        <f t="shared" si="3"/>
        <v>3.2072580740397516</v>
      </c>
    </row>
    <row r="76" spans="11:39" ht="15.75" thickBot="1">
      <c r="T76" s="5">
        <v>2</v>
      </c>
      <c r="U76" s="5">
        <v>2</v>
      </c>
      <c r="V76" s="5">
        <v>2</v>
      </c>
      <c r="W76" s="6">
        <v>1</v>
      </c>
      <c r="X76" s="5">
        <v>2</v>
      </c>
      <c r="Y76" s="5">
        <v>14.73</v>
      </c>
      <c r="Z76" s="5">
        <v>2.2000000000000002</v>
      </c>
      <c r="AA76" s="16">
        <f t="shared" si="2"/>
        <v>2.1337162661469966</v>
      </c>
      <c r="AB76" s="5">
        <v>2.2000000000000002</v>
      </c>
      <c r="AF76" s="22" t="s">
        <v>7</v>
      </c>
      <c r="AG76" s="5" t="s">
        <v>8</v>
      </c>
      <c r="AH76" s="5" t="s">
        <v>21</v>
      </c>
      <c r="AI76" s="5" t="s">
        <v>10</v>
      </c>
      <c r="AJ76" s="5">
        <v>2</v>
      </c>
      <c r="AK76" s="5">
        <v>14.73</v>
      </c>
      <c r="AL76" s="5">
        <v>2.2000000000000002</v>
      </c>
      <c r="AM76" s="5">
        <f t="shared" si="3"/>
        <v>2.1337162661469966</v>
      </c>
    </row>
    <row r="77" spans="11:39" ht="15.75" thickBot="1">
      <c r="T77" s="5">
        <v>1</v>
      </c>
      <c r="U77" s="5">
        <v>2</v>
      </c>
      <c r="V77" s="5">
        <v>2</v>
      </c>
      <c r="W77" s="6">
        <v>1</v>
      </c>
      <c r="X77" s="5">
        <v>2</v>
      </c>
      <c r="Y77" s="5">
        <v>10.51</v>
      </c>
      <c r="Z77" s="5">
        <v>1.25</v>
      </c>
      <c r="AA77" s="16">
        <f t="shared" si="2"/>
        <v>1.7074996626914778</v>
      </c>
      <c r="AB77" s="5">
        <v>1.25</v>
      </c>
      <c r="AF77" s="22" t="s">
        <v>11</v>
      </c>
      <c r="AG77" s="5" t="s">
        <v>8</v>
      </c>
      <c r="AH77" s="5" t="s">
        <v>21</v>
      </c>
      <c r="AI77" s="5" t="s">
        <v>10</v>
      </c>
      <c r="AJ77" s="5">
        <v>2</v>
      </c>
      <c r="AK77" s="5">
        <v>10.51</v>
      </c>
      <c r="AL77" s="5">
        <v>1.25</v>
      </c>
      <c r="AM77" s="5">
        <f t="shared" si="3"/>
        <v>1.7074996626914778</v>
      </c>
    </row>
    <row r="78" spans="11:39" ht="15.75" thickBot="1">
      <c r="T78" s="5">
        <v>1</v>
      </c>
      <c r="U78" s="5">
        <v>1</v>
      </c>
      <c r="V78" s="5">
        <v>2</v>
      </c>
      <c r="W78" s="6">
        <v>1</v>
      </c>
      <c r="X78" s="5">
        <v>2</v>
      </c>
      <c r="Y78" s="5">
        <v>17.920000000000002</v>
      </c>
      <c r="Z78" s="5">
        <v>3.08</v>
      </c>
      <c r="AA78" s="16">
        <f t="shared" si="2"/>
        <v>2.485642979311915</v>
      </c>
      <c r="AB78" s="5">
        <v>3.08</v>
      </c>
      <c r="AF78" s="22" t="s">
        <v>11</v>
      </c>
      <c r="AG78" s="5" t="s">
        <v>22</v>
      </c>
      <c r="AH78" s="5" t="s">
        <v>21</v>
      </c>
      <c r="AI78" s="5" t="s">
        <v>10</v>
      </c>
      <c r="AJ78" s="5">
        <v>2</v>
      </c>
      <c r="AK78" s="5">
        <v>17.920000000000002</v>
      </c>
      <c r="AL78" s="5">
        <v>3.08</v>
      </c>
      <c r="AM78" s="5">
        <f t="shared" si="3"/>
        <v>2.485642979311915</v>
      </c>
    </row>
    <row r="79" spans="11:39" ht="15.75" thickBot="1">
      <c r="T79" s="5">
        <v>1</v>
      </c>
      <c r="U79" s="5">
        <v>2</v>
      </c>
      <c r="V79" s="5">
        <v>3</v>
      </c>
      <c r="W79" s="6">
        <v>2</v>
      </c>
      <c r="X79" s="5">
        <v>4</v>
      </c>
      <c r="Y79" s="5">
        <v>27.2</v>
      </c>
      <c r="Z79" s="5">
        <v>4</v>
      </c>
      <c r="AA79" s="16">
        <f t="shared" si="2"/>
        <v>3.6228064815612191</v>
      </c>
      <c r="AB79" s="5">
        <v>4</v>
      </c>
      <c r="AF79" s="22" t="s">
        <v>11</v>
      </c>
      <c r="AG79" s="5" t="s">
        <v>8</v>
      </c>
      <c r="AH79" s="5" t="s">
        <v>23</v>
      </c>
      <c r="AI79" s="5" t="s">
        <v>24</v>
      </c>
      <c r="AJ79" s="5">
        <v>4</v>
      </c>
      <c r="AK79" s="5">
        <v>27.2</v>
      </c>
      <c r="AL79" s="5">
        <v>4</v>
      </c>
      <c r="AM79" s="5">
        <f t="shared" si="3"/>
        <v>3.6228064815612191</v>
      </c>
    </row>
    <row r="80" spans="11:39" ht="15.75" thickBot="1">
      <c r="T80" s="5">
        <v>1</v>
      </c>
      <c r="U80" s="5">
        <v>2</v>
      </c>
      <c r="V80" s="5">
        <v>3</v>
      </c>
      <c r="W80" s="6">
        <v>2</v>
      </c>
      <c r="X80" s="5">
        <v>2</v>
      </c>
      <c r="Y80" s="5">
        <v>22.76</v>
      </c>
      <c r="Z80" s="5">
        <v>3</v>
      </c>
      <c r="AA80" s="16">
        <f t="shared" si="2"/>
        <v>2.8463757213593368</v>
      </c>
      <c r="AB80" s="5">
        <v>3</v>
      </c>
      <c r="AF80" s="22" t="s">
        <v>11</v>
      </c>
      <c r="AG80" s="5" t="s">
        <v>8</v>
      </c>
      <c r="AH80" s="5" t="s">
        <v>23</v>
      </c>
      <c r="AI80" s="5" t="s">
        <v>24</v>
      </c>
      <c r="AJ80" s="5">
        <v>2</v>
      </c>
      <c r="AK80" s="5">
        <v>22.76</v>
      </c>
      <c r="AL80" s="5">
        <v>3</v>
      </c>
      <c r="AM80" s="5">
        <f t="shared" si="3"/>
        <v>2.8463757213593368</v>
      </c>
    </row>
    <row r="81" spans="20:39" ht="15.75" thickBot="1">
      <c r="T81" s="5">
        <v>1</v>
      </c>
      <c r="U81" s="5">
        <v>2</v>
      </c>
      <c r="V81" s="5">
        <v>3</v>
      </c>
      <c r="W81" s="6">
        <v>2</v>
      </c>
      <c r="X81" s="5">
        <v>2</v>
      </c>
      <c r="Y81" s="5">
        <v>17.29</v>
      </c>
      <c r="Z81" s="5">
        <v>2.71</v>
      </c>
      <c r="AA81" s="16">
        <f t="shared" si="2"/>
        <v>2.3317802604486428</v>
      </c>
      <c r="AB81" s="5">
        <v>2.71</v>
      </c>
      <c r="AF81" s="22" t="s">
        <v>11</v>
      </c>
      <c r="AG81" s="5" t="s">
        <v>8</v>
      </c>
      <c r="AH81" s="5" t="s">
        <v>23</v>
      </c>
      <c r="AI81" s="5" t="s">
        <v>24</v>
      </c>
      <c r="AJ81" s="5">
        <v>2</v>
      </c>
      <c r="AK81" s="5">
        <v>17.29</v>
      </c>
      <c r="AL81" s="5">
        <v>2.71</v>
      </c>
      <c r="AM81" s="5">
        <f t="shared" si="3"/>
        <v>2.3317802604486428</v>
      </c>
    </row>
    <row r="82" spans="20:39" ht="15.75" thickBot="1">
      <c r="T82" s="5">
        <v>1</v>
      </c>
      <c r="U82" s="5">
        <v>1</v>
      </c>
      <c r="V82" s="5">
        <v>3</v>
      </c>
      <c r="W82" s="6">
        <v>2</v>
      </c>
      <c r="X82" s="5">
        <v>2</v>
      </c>
      <c r="Y82" s="5">
        <v>19.440000000000001</v>
      </c>
      <c r="Z82" s="5">
        <v>3</v>
      </c>
      <c r="AA82" s="16">
        <f t="shared" si="2"/>
        <v>2.6150840662116304</v>
      </c>
      <c r="AB82" s="5">
        <v>3</v>
      </c>
      <c r="AF82" s="22" t="s">
        <v>11</v>
      </c>
      <c r="AG82" s="5" t="s">
        <v>22</v>
      </c>
      <c r="AH82" s="5" t="s">
        <v>23</v>
      </c>
      <c r="AI82" s="5" t="s">
        <v>24</v>
      </c>
      <c r="AJ82" s="5">
        <v>2</v>
      </c>
      <c r="AK82" s="5">
        <v>19.440000000000001</v>
      </c>
      <c r="AL82" s="5">
        <v>3</v>
      </c>
      <c r="AM82" s="5">
        <f t="shared" si="3"/>
        <v>2.6150840662116304</v>
      </c>
    </row>
    <row r="83" spans="20:39" ht="15.75" thickBot="1">
      <c r="T83" s="5">
        <v>1</v>
      </c>
      <c r="U83" s="5">
        <v>2</v>
      </c>
      <c r="V83" s="5">
        <v>3</v>
      </c>
      <c r="W83" s="6">
        <v>2</v>
      </c>
      <c r="X83" s="5">
        <v>2</v>
      </c>
      <c r="Y83" s="5">
        <v>16.66</v>
      </c>
      <c r="Z83" s="5">
        <v>3.4</v>
      </c>
      <c r="AA83" s="16">
        <f t="shared" si="2"/>
        <v>2.2725124102889103</v>
      </c>
      <c r="AB83" s="5">
        <v>3.4</v>
      </c>
      <c r="AF83" s="22" t="s">
        <v>11</v>
      </c>
      <c r="AG83" s="5" t="s">
        <v>8</v>
      </c>
      <c r="AH83" s="5" t="s">
        <v>23</v>
      </c>
      <c r="AI83" s="5" t="s">
        <v>24</v>
      </c>
      <c r="AJ83" s="5">
        <v>2</v>
      </c>
      <c r="AK83" s="5">
        <v>16.66</v>
      </c>
      <c r="AL83" s="5">
        <v>3.4</v>
      </c>
      <c r="AM83" s="5">
        <f t="shared" si="3"/>
        <v>2.2725124102889103</v>
      </c>
    </row>
    <row r="84" spans="20:39" ht="15.75" thickBot="1">
      <c r="T84" s="5">
        <v>2</v>
      </c>
      <c r="U84" s="5">
        <v>2</v>
      </c>
      <c r="V84" s="5">
        <v>3</v>
      </c>
      <c r="W84" s="6">
        <v>2</v>
      </c>
      <c r="X84" s="5">
        <v>1</v>
      </c>
      <c r="Y84" s="5">
        <v>10.07</v>
      </c>
      <c r="Z84" s="5">
        <v>1.83</v>
      </c>
      <c r="AA84" s="16">
        <f t="shared" si="2"/>
        <v>1.5024012005131664</v>
      </c>
      <c r="AB84" s="5">
        <v>1.83</v>
      </c>
      <c r="AF84" s="22" t="s">
        <v>7</v>
      </c>
      <c r="AG84" s="5" t="s">
        <v>8</v>
      </c>
      <c r="AH84" s="5" t="s">
        <v>23</v>
      </c>
      <c r="AI84" s="5" t="s">
        <v>24</v>
      </c>
      <c r="AJ84" s="5">
        <v>1</v>
      </c>
      <c r="AK84" s="5">
        <v>10.07</v>
      </c>
      <c r="AL84" s="5">
        <v>1.83</v>
      </c>
      <c r="AM84" s="5">
        <f t="shared" si="3"/>
        <v>1.5024012005131664</v>
      </c>
    </row>
    <row r="85" spans="20:39" ht="15.75" thickBot="1">
      <c r="T85" s="5">
        <v>1</v>
      </c>
      <c r="U85" s="5">
        <v>1</v>
      </c>
      <c r="V85" s="5">
        <v>3</v>
      </c>
      <c r="W85" s="6">
        <v>2</v>
      </c>
      <c r="X85" s="5">
        <v>2</v>
      </c>
      <c r="Y85" s="5">
        <v>32.68</v>
      </c>
      <c r="Z85" s="5">
        <v>5</v>
      </c>
      <c r="AA85" s="16">
        <f t="shared" si="2"/>
        <v>3.8606496790923597</v>
      </c>
      <c r="AB85" s="5">
        <v>5</v>
      </c>
      <c r="AF85" s="22" t="s">
        <v>11</v>
      </c>
      <c r="AG85" s="5" t="s">
        <v>22</v>
      </c>
      <c r="AH85" s="5" t="s">
        <v>23</v>
      </c>
      <c r="AI85" s="5" t="s">
        <v>24</v>
      </c>
      <c r="AJ85" s="5">
        <v>2</v>
      </c>
      <c r="AK85" s="5">
        <v>32.68</v>
      </c>
      <c r="AL85" s="5">
        <v>5</v>
      </c>
      <c r="AM85" s="5">
        <f t="shared" si="3"/>
        <v>3.8606496790923597</v>
      </c>
    </row>
    <row r="86" spans="20:39" ht="15.75" thickBot="1">
      <c r="T86" s="5">
        <v>1</v>
      </c>
      <c r="U86" s="5">
        <v>2</v>
      </c>
      <c r="V86" s="5">
        <v>3</v>
      </c>
      <c r="W86" s="6">
        <v>2</v>
      </c>
      <c r="X86" s="5">
        <v>2</v>
      </c>
      <c r="Y86" s="5">
        <v>15.98</v>
      </c>
      <c r="Z86" s="5">
        <v>2.0299999999999998</v>
      </c>
      <c r="AA86" s="16">
        <f t="shared" si="2"/>
        <v>2.2085407624974529</v>
      </c>
      <c r="AB86" s="5">
        <v>2.0299999999999998</v>
      </c>
      <c r="AF86" s="22" t="s">
        <v>11</v>
      </c>
      <c r="AG86" s="5" t="s">
        <v>8</v>
      </c>
      <c r="AH86" s="5" t="s">
        <v>23</v>
      </c>
      <c r="AI86" s="5" t="s">
        <v>24</v>
      </c>
      <c r="AJ86" s="5">
        <v>2</v>
      </c>
      <c r="AK86" s="5">
        <v>15.98</v>
      </c>
      <c r="AL86" s="5">
        <v>2.0299999999999998</v>
      </c>
      <c r="AM86" s="5">
        <f t="shared" si="3"/>
        <v>2.2085407624974529</v>
      </c>
    </row>
    <row r="87" spans="20:39" ht="15.75" thickBot="1">
      <c r="T87" s="5">
        <v>2</v>
      </c>
      <c r="U87" s="5">
        <v>2</v>
      </c>
      <c r="V87" s="5">
        <v>3</v>
      </c>
      <c r="W87" s="6">
        <v>2</v>
      </c>
      <c r="X87" s="5">
        <v>4</v>
      </c>
      <c r="Y87" s="5">
        <v>34.83</v>
      </c>
      <c r="Z87" s="5">
        <v>5.17</v>
      </c>
      <c r="AA87" s="16">
        <f t="shared" si="2"/>
        <v>4.3698220835003694</v>
      </c>
      <c r="AB87" s="5">
        <v>5.17</v>
      </c>
      <c r="AF87" s="22" t="s">
        <v>7</v>
      </c>
      <c r="AG87" s="5" t="s">
        <v>8</v>
      </c>
      <c r="AH87" s="5" t="s">
        <v>23</v>
      </c>
      <c r="AI87" s="5" t="s">
        <v>24</v>
      </c>
      <c r="AJ87" s="5">
        <v>4</v>
      </c>
      <c r="AK87" s="5">
        <v>34.83</v>
      </c>
      <c r="AL87" s="5">
        <v>5.17</v>
      </c>
      <c r="AM87" s="5">
        <f t="shared" si="3"/>
        <v>4.3698220835003694</v>
      </c>
    </row>
    <row r="88" spans="20:39" ht="15.75" thickBot="1">
      <c r="T88" s="5">
        <v>1</v>
      </c>
      <c r="U88" s="5">
        <v>2</v>
      </c>
      <c r="V88" s="5">
        <v>3</v>
      </c>
      <c r="W88" s="6">
        <v>2</v>
      </c>
      <c r="X88" s="5">
        <v>2</v>
      </c>
      <c r="Y88" s="5">
        <v>13.03</v>
      </c>
      <c r="Z88" s="5">
        <v>2</v>
      </c>
      <c r="AA88" s="16">
        <f t="shared" si="2"/>
        <v>1.9310167022256892</v>
      </c>
      <c r="AB88" s="5">
        <v>2</v>
      </c>
      <c r="AF88" s="22" t="s">
        <v>11</v>
      </c>
      <c r="AG88" s="5" t="s">
        <v>8</v>
      </c>
      <c r="AH88" s="5" t="s">
        <v>23</v>
      </c>
      <c r="AI88" s="5" t="s">
        <v>24</v>
      </c>
      <c r="AJ88" s="5">
        <v>2</v>
      </c>
      <c r="AK88" s="5">
        <v>13.03</v>
      </c>
      <c r="AL88" s="5">
        <v>2</v>
      </c>
      <c r="AM88" s="5">
        <f t="shared" si="3"/>
        <v>1.9310167022256892</v>
      </c>
    </row>
    <row r="89" spans="20:39" ht="15.75" thickBot="1">
      <c r="T89" s="5">
        <v>1</v>
      </c>
      <c r="U89" s="5">
        <v>2</v>
      </c>
      <c r="V89" s="5">
        <v>3</v>
      </c>
      <c r="W89" s="6">
        <v>2</v>
      </c>
      <c r="X89" s="5">
        <v>2</v>
      </c>
      <c r="Y89" s="5">
        <v>18.28</v>
      </c>
      <c r="Z89" s="5">
        <v>4</v>
      </c>
      <c r="AA89" s="16">
        <f t="shared" si="2"/>
        <v>2.4249154535567943</v>
      </c>
      <c r="AB89" s="5">
        <v>4</v>
      </c>
      <c r="AF89" s="22" t="s">
        <v>11</v>
      </c>
      <c r="AG89" s="5" t="s">
        <v>8</v>
      </c>
      <c r="AH89" s="5" t="s">
        <v>23</v>
      </c>
      <c r="AI89" s="5" t="s">
        <v>24</v>
      </c>
      <c r="AJ89" s="5">
        <v>2</v>
      </c>
      <c r="AK89" s="5">
        <v>18.28</v>
      </c>
      <c r="AL89" s="5">
        <v>4</v>
      </c>
      <c r="AM89" s="5">
        <f t="shared" si="3"/>
        <v>2.4249154535567943</v>
      </c>
    </row>
    <row r="90" spans="20:39" ht="15.75" thickBot="1">
      <c r="T90" s="5">
        <v>1</v>
      </c>
      <c r="U90" s="5">
        <v>2</v>
      </c>
      <c r="V90" s="5">
        <v>3</v>
      </c>
      <c r="W90" s="6">
        <v>2</v>
      </c>
      <c r="X90" s="5">
        <v>2</v>
      </c>
      <c r="Y90" s="5">
        <v>24.71</v>
      </c>
      <c r="Z90" s="5">
        <v>5.85</v>
      </c>
      <c r="AA90" s="16">
        <f t="shared" si="2"/>
        <v>3.0298238289966042</v>
      </c>
      <c r="AB90" s="5">
        <v>5.85</v>
      </c>
      <c r="AF90" s="22" t="s">
        <v>11</v>
      </c>
      <c r="AG90" s="5" t="s">
        <v>8</v>
      </c>
      <c r="AH90" s="5" t="s">
        <v>23</v>
      </c>
      <c r="AI90" s="5" t="s">
        <v>24</v>
      </c>
      <c r="AJ90" s="5">
        <v>2</v>
      </c>
      <c r="AK90" s="5">
        <v>24.71</v>
      </c>
      <c r="AL90" s="5">
        <v>5.85</v>
      </c>
      <c r="AM90" s="5">
        <f t="shared" si="3"/>
        <v>3.0298238289966042</v>
      </c>
    </row>
    <row r="91" spans="20:39" ht="15.75" thickBot="1">
      <c r="T91" s="5">
        <v>1</v>
      </c>
      <c r="U91" s="5">
        <v>2</v>
      </c>
      <c r="V91" s="5">
        <v>3</v>
      </c>
      <c r="W91" s="6">
        <v>2</v>
      </c>
      <c r="X91" s="5">
        <v>2</v>
      </c>
      <c r="Y91" s="5">
        <v>21.16</v>
      </c>
      <c r="Z91" s="5">
        <v>3</v>
      </c>
      <c r="AA91" s="16">
        <f t="shared" si="2"/>
        <v>2.6958541971441434</v>
      </c>
      <c r="AB91" s="5">
        <v>3</v>
      </c>
      <c r="AF91" s="22" t="s">
        <v>11</v>
      </c>
      <c r="AG91" s="5" t="s">
        <v>8</v>
      </c>
      <c r="AH91" s="5" t="s">
        <v>23</v>
      </c>
      <c r="AI91" s="5" t="s">
        <v>24</v>
      </c>
      <c r="AJ91" s="5">
        <v>2</v>
      </c>
      <c r="AK91" s="5">
        <v>21.16</v>
      </c>
      <c r="AL91" s="5">
        <v>3</v>
      </c>
      <c r="AM91" s="5">
        <f t="shared" si="3"/>
        <v>2.6958541971441434</v>
      </c>
    </row>
    <row r="92" spans="20:39" ht="15.75" thickBot="1">
      <c r="T92" s="5">
        <v>1</v>
      </c>
      <c r="U92" s="5">
        <v>1</v>
      </c>
      <c r="V92" s="5">
        <v>4</v>
      </c>
      <c r="W92" s="6">
        <v>1</v>
      </c>
      <c r="X92" s="5">
        <v>2</v>
      </c>
      <c r="Y92" s="5">
        <v>28.97</v>
      </c>
      <c r="Z92" s="5">
        <v>3</v>
      </c>
      <c r="AA92" s="16">
        <f t="shared" si="2"/>
        <v>3.5095146139320068</v>
      </c>
      <c r="AB92" s="5">
        <v>3</v>
      </c>
      <c r="AF92" s="22" t="s">
        <v>11</v>
      </c>
      <c r="AG92" s="5" t="s">
        <v>22</v>
      </c>
      <c r="AH92" s="5" t="s">
        <v>25</v>
      </c>
      <c r="AI92" s="5" t="s">
        <v>10</v>
      </c>
      <c r="AJ92" s="5">
        <v>2</v>
      </c>
      <c r="AK92" s="5">
        <v>28.97</v>
      </c>
      <c r="AL92" s="5">
        <v>3</v>
      </c>
      <c r="AM92" s="5">
        <f t="shared" si="3"/>
        <v>3.5095146139320068</v>
      </c>
    </row>
    <row r="93" spans="20:39" ht="15.75" thickBot="1">
      <c r="T93" s="5">
        <v>1</v>
      </c>
      <c r="U93" s="5">
        <v>2</v>
      </c>
      <c r="V93" s="5">
        <v>4</v>
      </c>
      <c r="W93" s="6">
        <v>1</v>
      </c>
      <c r="X93" s="5">
        <v>2</v>
      </c>
      <c r="Y93" s="5">
        <v>22.49</v>
      </c>
      <c r="Z93" s="5">
        <v>3.5</v>
      </c>
      <c r="AA93" s="16">
        <f t="shared" si="2"/>
        <v>2.8188619332616511</v>
      </c>
      <c r="AB93" s="5">
        <v>3.5</v>
      </c>
      <c r="AF93" s="22" t="s">
        <v>11</v>
      </c>
      <c r="AG93" s="5" t="s">
        <v>8</v>
      </c>
      <c r="AH93" s="5" t="s">
        <v>25</v>
      </c>
      <c r="AI93" s="5" t="s">
        <v>10</v>
      </c>
      <c r="AJ93" s="5">
        <v>2</v>
      </c>
      <c r="AK93" s="5">
        <v>22.49</v>
      </c>
      <c r="AL93" s="5">
        <v>3.5</v>
      </c>
      <c r="AM93" s="5">
        <f t="shared" si="3"/>
        <v>2.8188619332616511</v>
      </c>
    </row>
    <row r="94" spans="20:39" ht="15.75" thickBot="1">
      <c r="T94" s="5">
        <v>2</v>
      </c>
      <c r="U94" s="5">
        <v>1</v>
      </c>
      <c r="V94" s="5">
        <v>4</v>
      </c>
      <c r="W94" s="6">
        <v>1</v>
      </c>
      <c r="X94" s="5">
        <v>2</v>
      </c>
      <c r="Y94" s="5">
        <v>5.75</v>
      </c>
      <c r="Z94" s="5">
        <v>1</v>
      </c>
      <c r="AA94" s="16">
        <f t="shared" si="2"/>
        <v>1.3542870770969511</v>
      </c>
      <c r="AB94" s="5">
        <v>1</v>
      </c>
      <c r="AF94" s="22" t="s">
        <v>7</v>
      </c>
      <c r="AG94" s="5" t="s">
        <v>22</v>
      </c>
      <c r="AH94" s="5" t="s">
        <v>25</v>
      </c>
      <c r="AI94" s="5" t="s">
        <v>10</v>
      </c>
      <c r="AJ94" s="5">
        <v>2</v>
      </c>
      <c r="AK94" s="5">
        <v>5.75</v>
      </c>
      <c r="AL94" s="5">
        <v>1</v>
      </c>
      <c r="AM94" s="5">
        <f t="shared" si="3"/>
        <v>1.3542870770969511</v>
      </c>
    </row>
    <row r="95" spans="20:39" ht="15.75" thickBot="1">
      <c r="T95" s="5">
        <v>2</v>
      </c>
      <c r="U95" s="5">
        <v>1</v>
      </c>
      <c r="V95" s="5">
        <v>4</v>
      </c>
      <c r="W95" s="6">
        <v>1</v>
      </c>
      <c r="X95" s="5">
        <v>2</v>
      </c>
      <c r="Y95" s="5">
        <v>16.32</v>
      </c>
      <c r="Z95" s="5">
        <v>4.3</v>
      </c>
      <c r="AA95" s="16">
        <f t="shared" si="2"/>
        <v>2.3486698964435755</v>
      </c>
      <c r="AB95" s="5">
        <v>4.3</v>
      </c>
      <c r="AF95" s="22" t="s">
        <v>7</v>
      </c>
      <c r="AG95" s="5" t="s">
        <v>22</v>
      </c>
      <c r="AH95" s="5" t="s">
        <v>25</v>
      </c>
      <c r="AI95" s="5" t="s">
        <v>10</v>
      </c>
      <c r="AJ95" s="5">
        <v>2</v>
      </c>
      <c r="AK95" s="5">
        <v>16.32</v>
      </c>
      <c r="AL95" s="5">
        <v>4.3</v>
      </c>
      <c r="AM95" s="5">
        <f t="shared" si="3"/>
        <v>2.3486698964435755</v>
      </c>
    </row>
    <row r="96" spans="20:39" ht="15.75" thickBot="1">
      <c r="T96" s="5">
        <v>2</v>
      </c>
      <c r="U96" s="5">
        <v>2</v>
      </c>
      <c r="V96" s="5">
        <v>4</v>
      </c>
      <c r="W96" s="6">
        <v>1</v>
      </c>
      <c r="X96" s="5">
        <v>2</v>
      </c>
      <c r="Y96" s="5">
        <v>22.75</v>
      </c>
      <c r="Z96" s="5">
        <v>3.25</v>
      </c>
      <c r="AA96" s="16">
        <f t="shared" si="2"/>
        <v>2.8725377642845658</v>
      </c>
      <c r="AB96" s="5">
        <v>3.25</v>
      </c>
      <c r="AF96" s="22" t="s">
        <v>7</v>
      </c>
      <c r="AG96" s="5" t="s">
        <v>8</v>
      </c>
      <c r="AH96" s="5" t="s">
        <v>25</v>
      </c>
      <c r="AI96" s="5" t="s">
        <v>10</v>
      </c>
      <c r="AJ96" s="5">
        <v>2</v>
      </c>
      <c r="AK96" s="5">
        <v>22.75</v>
      </c>
      <c r="AL96" s="5">
        <v>3.25</v>
      </c>
      <c r="AM96" s="5">
        <f t="shared" si="3"/>
        <v>2.8725377642845658</v>
      </c>
    </row>
    <row r="97" spans="20:39" ht="15.75" thickBot="1">
      <c r="T97" s="5">
        <v>1</v>
      </c>
      <c r="U97" s="5">
        <v>1</v>
      </c>
      <c r="V97" s="5">
        <v>4</v>
      </c>
      <c r="W97" s="6">
        <v>1</v>
      </c>
      <c r="X97" s="5">
        <v>4</v>
      </c>
      <c r="Y97" s="5">
        <v>40.17</v>
      </c>
      <c r="Z97" s="5">
        <v>4.7300000000000004</v>
      </c>
      <c r="AA97" s="16">
        <f t="shared" si="2"/>
        <v>4.9218988139430824</v>
      </c>
      <c r="AB97" s="5">
        <v>4.7300000000000004</v>
      </c>
      <c r="AF97" s="22" t="s">
        <v>11</v>
      </c>
      <c r="AG97" s="5" t="s">
        <v>22</v>
      </c>
      <c r="AH97" s="5" t="s">
        <v>25</v>
      </c>
      <c r="AI97" s="5" t="s">
        <v>10</v>
      </c>
      <c r="AJ97" s="5">
        <v>4</v>
      </c>
      <c r="AK97" s="5">
        <v>40.17</v>
      </c>
      <c r="AL97" s="5">
        <v>4.7300000000000004</v>
      </c>
      <c r="AM97" s="5">
        <f t="shared" si="3"/>
        <v>4.9218988139430824</v>
      </c>
    </row>
    <row r="98" spans="20:39" ht="15.75" thickBot="1">
      <c r="T98" s="5">
        <v>1</v>
      </c>
      <c r="U98" s="5">
        <v>1</v>
      </c>
      <c r="V98" s="5">
        <v>4</v>
      </c>
      <c r="W98" s="6">
        <v>1</v>
      </c>
      <c r="X98" s="5">
        <v>2</v>
      </c>
      <c r="Y98" s="5">
        <v>27.28</v>
      </c>
      <c r="Z98" s="5">
        <v>4</v>
      </c>
      <c r="AA98" s="16">
        <f t="shared" si="2"/>
        <v>3.3505262539797087</v>
      </c>
      <c r="AB98" s="5">
        <v>4</v>
      </c>
      <c r="AF98" s="22" t="s">
        <v>11</v>
      </c>
      <c r="AG98" s="5" t="s">
        <v>22</v>
      </c>
      <c r="AH98" s="5" t="s">
        <v>25</v>
      </c>
      <c r="AI98" s="5" t="s">
        <v>10</v>
      </c>
      <c r="AJ98" s="5">
        <v>2</v>
      </c>
      <c r="AK98" s="5">
        <v>27.28</v>
      </c>
      <c r="AL98" s="5">
        <v>4</v>
      </c>
      <c r="AM98" s="5">
        <f t="shared" si="3"/>
        <v>3.3505262539797087</v>
      </c>
    </row>
    <row r="99" spans="20:39" ht="15.75" thickBot="1">
      <c r="T99" s="5">
        <v>1</v>
      </c>
      <c r="U99" s="5">
        <v>1</v>
      </c>
      <c r="V99" s="5">
        <v>4</v>
      </c>
      <c r="W99" s="6">
        <v>1</v>
      </c>
      <c r="X99" s="5">
        <v>2</v>
      </c>
      <c r="Y99" s="5">
        <v>12.03</v>
      </c>
      <c r="Z99" s="5">
        <v>1.5</v>
      </c>
      <c r="AA99" s="16">
        <f t="shared" si="2"/>
        <v>1.9158679763036417</v>
      </c>
      <c r="AB99" s="5">
        <v>1.5</v>
      </c>
      <c r="AF99" s="22" t="s">
        <v>11</v>
      </c>
      <c r="AG99" s="5" t="s">
        <v>22</v>
      </c>
      <c r="AH99" s="5" t="s">
        <v>25</v>
      </c>
      <c r="AI99" s="5" t="s">
        <v>10</v>
      </c>
      <c r="AJ99" s="5">
        <v>2</v>
      </c>
      <c r="AK99" s="5">
        <v>12.03</v>
      </c>
      <c r="AL99" s="5">
        <v>1.5</v>
      </c>
      <c r="AM99" s="5">
        <f t="shared" si="3"/>
        <v>1.9158679763036417</v>
      </c>
    </row>
    <row r="100" spans="20:39" ht="15.75" thickBot="1">
      <c r="T100" s="5">
        <v>1</v>
      </c>
      <c r="U100" s="5">
        <v>1</v>
      </c>
      <c r="V100" s="5">
        <v>4</v>
      </c>
      <c r="W100" s="6">
        <v>1</v>
      </c>
      <c r="X100" s="5">
        <v>2</v>
      </c>
      <c r="Y100" s="5">
        <v>21.01</v>
      </c>
      <c r="Z100" s="5">
        <v>3</v>
      </c>
      <c r="AA100" s="16">
        <f t="shared" si="2"/>
        <v>2.7606700309614176</v>
      </c>
      <c r="AB100" s="5">
        <v>3</v>
      </c>
      <c r="AF100" s="22" t="s">
        <v>11</v>
      </c>
      <c r="AG100" s="5" t="s">
        <v>22</v>
      </c>
      <c r="AH100" s="5" t="s">
        <v>25</v>
      </c>
      <c r="AI100" s="5" t="s">
        <v>10</v>
      </c>
      <c r="AJ100" s="5">
        <v>2</v>
      </c>
      <c r="AK100" s="5">
        <v>21.01</v>
      </c>
      <c r="AL100" s="5">
        <v>3</v>
      </c>
      <c r="AM100" s="5">
        <f t="shared" si="3"/>
        <v>2.7606700309614176</v>
      </c>
    </row>
    <row r="101" spans="20:39" ht="15.75" thickBot="1">
      <c r="T101" s="5">
        <v>1</v>
      </c>
      <c r="U101" s="5">
        <v>2</v>
      </c>
      <c r="V101" s="5">
        <v>4</v>
      </c>
      <c r="W101" s="6">
        <v>1</v>
      </c>
      <c r="X101" s="5">
        <v>2</v>
      </c>
      <c r="Y101" s="5">
        <v>12.46</v>
      </c>
      <c r="Z101" s="5">
        <v>1.5</v>
      </c>
      <c r="AA101" s="16">
        <f t="shared" si="2"/>
        <v>1.8752801283376548</v>
      </c>
      <c r="AB101" s="5">
        <v>1.5</v>
      </c>
      <c r="AF101" s="22" t="s">
        <v>11</v>
      </c>
      <c r="AG101" s="5" t="s">
        <v>8</v>
      </c>
      <c r="AH101" s="5" t="s">
        <v>25</v>
      </c>
      <c r="AI101" s="5" t="s">
        <v>10</v>
      </c>
      <c r="AJ101" s="5">
        <v>2</v>
      </c>
      <c r="AK101" s="5">
        <v>12.46</v>
      </c>
      <c r="AL101" s="5">
        <v>1.5</v>
      </c>
      <c r="AM101" s="5">
        <f t="shared" si="3"/>
        <v>1.8752801283376548</v>
      </c>
    </row>
    <row r="102" spans="20:39" ht="15.75" thickBot="1">
      <c r="T102" s="5">
        <v>2</v>
      </c>
      <c r="U102" s="5">
        <v>1</v>
      </c>
      <c r="V102" s="5">
        <v>4</v>
      </c>
      <c r="W102" s="6">
        <v>1</v>
      </c>
      <c r="X102" s="5">
        <v>2</v>
      </c>
      <c r="Y102" s="5">
        <v>11.35</v>
      </c>
      <c r="Z102" s="5">
        <v>2.5</v>
      </c>
      <c r="AA102" s="16">
        <f t="shared" si="2"/>
        <v>1.8811124118501295</v>
      </c>
      <c r="AB102" s="5">
        <v>2.5</v>
      </c>
      <c r="AF102" s="22" t="s">
        <v>7</v>
      </c>
      <c r="AG102" s="5" t="s">
        <v>22</v>
      </c>
      <c r="AH102" s="5" t="s">
        <v>25</v>
      </c>
      <c r="AI102" s="5" t="s">
        <v>10</v>
      </c>
      <c r="AJ102" s="5">
        <v>2</v>
      </c>
      <c r="AK102" s="5">
        <v>11.35</v>
      </c>
      <c r="AL102" s="5">
        <v>2.5</v>
      </c>
      <c r="AM102" s="5">
        <f t="shared" si="3"/>
        <v>1.8811124118501295</v>
      </c>
    </row>
    <row r="103" spans="20:39" ht="15.75" thickBot="1">
      <c r="T103" s="5">
        <v>2</v>
      </c>
      <c r="U103" s="5">
        <v>1</v>
      </c>
      <c r="V103" s="5">
        <v>4</v>
      </c>
      <c r="W103" s="6">
        <v>1</v>
      </c>
      <c r="X103" s="5">
        <v>2</v>
      </c>
      <c r="Y103" s="5">
        <v>15.38</v>
      </c>
      <c r="Z103" s="5">
        <v>3</v>
      </c>
      <c r="AA103" s="16">
        <f t="shared" si="2"/>
        <v>2.2602385009671493</v>
      </c>
      <c r="AB103" s="5">
        <v>3</v>
      </c>
      <c r="AF103" s="22" t="s">
        <v>7</v>
      </c>
      <c r="AG103" s="5" t="s">
        <v>22</v>
      </c>
      <c r="AH103" s="5" t="s">
        <v>25</v>
      </c>
      <c r="AI103" s="5" t="s">
        <v>10</v>
      </c>
      <c r="AJ103" s="5">
        <v>2</v>
      </c>
      <c r="AK103" s="5">
        <v>15.38</v>
      </c>
      <c r="AL103" s="5">
        <v>3</v>
      </c>
      <c r="AM103" s="5">
        <f t="shared" si="3"/>
        <v>2.2602385009671493</v>
      </c>
    </row>
    <row r="104" spans="20:39" ht="15.75" thickBot="1">
      <c r="T104" s="5">
        <v>2</v>
      </c>
      <c r="U104" s="5">
        <v>1</v>
      </c>
      <c r="V104" s="5">
        <v>2</v>
      </c>
      <c r="W104" s="6">
        <v>1</v>
      </c>
      <c r="X104" s="5">
        <v>3</v>
      </c>
      <c r="Y104" s="5">
        <v>44.3</v>
      </c>
      <c r="Z104" s="5">
        <v>2.5</v>
      </c>
      <c r="AA104" s="16">
        <f t="shared" si="2"/>
        <v>5.1759494584002281</v>
      </c>
      <c r="AB104" s="5">
        <v>2.5</v>
      </c>
      <c r="AF104" s="22" t="s">
        <v>7</v>
      </c>
      <c r="AG104" s="5" t="s">
        <v>22</v>
      </c>
      <c r="AH104" s="5" t="s">
        <v>21</v>
      </c>
      <c r="AI104" s="5" t="s">
        <v>10</v>
      </c>
      <c r="AJ104" s="5">
        <v>3</v>
      </c>
      <c r="AK104" s="5">
        <v>44.3</v>
      </c>
      <c r="AL104" s="5">
        <v>2.5</v>
      </c>
      <c r="AM104" s="5">
        <f t="shared" si="3"/>
        <v>5.1759494584002281</v>
      </c>
    </row>
    <row r="105" spans="20:39" ht="15.75" thickBot="1">
      <c r="T105" s="5">
        <v>2</v>
      </c>
      <c r="U105" s="5">
        <v>1</v>
      </c>
      <c r="V105" s="5">
        <v>2</v>
      </c>
      <c r="W105" s="6">
        <v>1</v>
      </c>
      <c r="X105" s="5">
        <v>2</v>
      </c>
      <c r="Y105" s="5">
        <v>22.42</v>
      </c>
      <c r="Z105" s="5">
        <v>3.48</v>
      </c>
      <c r="AA105" s="16">
        <f t="shared" si="2"/>
        <v>2.9382008495050931</v>
      </c>
      <c r="AB105" s="5">
        <v>3.48</v>
      </c>
      <c r="AF105" s="22" t="s">
        <v>7</v>
      </c>
      <c r="AG105" s="5" t="s">
        <v>22</v>
      </c>
      <c r="AH105" s="5" t="s">
        <v>21</v>
      </c>
      <c r="AI105" s="5" t="s">
        <v>10</v>
      </c>
      <c r="AJ105" s="5">
        <v>2</v>
      </c>
      <c r="AK105" s="5">
        <v>22.42</v>
      </c>
      <c r="AL105" s="5">
        <v>3.48</v>
      </c>
      <c r="AM105" s="5">
        <f t="shared" si="3"/>
        <v>2.9382008495050931</v>
      </c>
    </row>
    <row r="106" spans="20:39" ht="15.75" thickBot="1">
      <c r="T106" s="5">
        <v>2</v>
      </c>
      <c r="U106" s="5">
        <v>2</v>
      </c>
      <c r="V106" s="5">
        <v>2</v>
      </c>
      <c r="W106" s="6">
        <v>1</v>
      </c>
      <c r="X106" s="5">
        <v>2</v>
      </c>
      <c r="Y106" s="5">
        <v>20.92</v>
      </c>
      <c r="Z106" s="5">
        <v>4.08</v>
      </c>
      <c r="AA106" s="16">
        <f t="shared" si="2"/>
        <v>2.7160464129545279</v>
      </c>
      <c r="AB106" s="5">
        <v>4.08</v>
      </c>
      <c r="AF106" s="22" t="s">
        <v>7</v>
      </c>
      <c r="AG106" s="5" t="s">
        <v>8</v>
      </c>
      <c r="AH106" s="5" t="s">
        <v>21</v>
      </c>
      <c r="AI106" s="5" t="s">
        <v>10</v>
      </c>
      <c r="AJ106" s="5">
        <v>2</v>
      </c>
      <c r="AK106" s="5">
        <v>20.92</v>
      </c>
      <c r="AL106" s="5">
        <v>4.08</v>
      </c>
      <c r="AM106" s="5">
        <f t="shared" si="3"/>
        <v>2.7160464129545279</v>
      </c>
    </row>
    <row r="107" spans="20:39" ht="15.75" thickBot="1">
      <c r="T107" s="5">
        <v>1</v>
      </c>
      <c r="U107" s="5">
        <v>1</v>
      </c>
      <c r="V107" s="5">
        <v>2</v>
      </c>
      <c r="W107" s="6">
        <v>1</v>
      </c>
      <c r="X107" s="5">
        <v>2</v>
      </c>
      <c r="Y107" s="5">
        <v>15.36</v>
      </c>
      <c r="Z107" s="5">
        <v>1.64</v>
      </c>
      <c r="AA107" s="16">
        <f t="shared" si="2"/>
        <v>2.2448085405676048</v>
      </c>
      <c r="AB107" s="5">
        <v>1.64</v>
      </c>
      <c r="AF107" s="22" t="s">
        <v>11</v>
      </c>
      <c r="AG107" s="5" t="s">
        <v>22</v>
      </c>
      <c r="AH107" s="5" t="s">
        <v>21</v>
      </c>
      <c r="AI107" s="5" t="s">
        <v>10</v>
      </c>
      <c r="AJ107" s="5">
        <v>2</v>
      </c>
      <c r="AK107" s="5">
        <v>15.36</v>
      </c>
      <c r="AL107" s="5">
        <v>1.64</v>
      </c>
      <c r="AM107" s="5">
        <f t="shared" si="3"/>
        <v>2.2448085405676048</v>
      </c>
    </row>
    <row r="108" spans="20:39" ht="15.75" thickBot="1">
      <c r="T108" s="5">
        <v>1</v>
      </c>
      <c r="U108" s="5">
        <v>1</v>
      </c>
      <c r="V108" s="5">
        <v>2</v>
      </c>
      <c r="W108" s="6">
        <v>1</v>
      </c>
      <c r="X108" s="5">
        <v>2</v>
      </c>
      <c r="Y108" s="5">
        <v>20.49</v>
      </c>
      <c r="Z108" s="5">
        <v>4.0599999999999996</v>
      </c>
      <c r="AA108" s="16">
        <f t="shared" si="2"/>
        <v>2.7274181775825701</v>
      </c>
      <c r="AB108" s="5">
        <v>4.0599999999999996</v>
      </c>
      <c r="AF108" s="22" t="s">
        <v>11</v>
      </c>
      <c r="AG108" s="5" t="s">
        <v>22</v>
      </c>
      <c r="AH108" s="5" t="s">
        <v>21</v>
      </c>
      <c r="AI108" s="5" t="s">
        <v>10</v>
      </c>
      <c r="AJ108" s="5">
        <v>2</v>
      </c>
      <c r="AK108" s="5">
        <v>20.49</v>
      </c>
      <c r="AL108" s="5">
        <v>4.0599999999999996</v>
      </c>
      <c r="AM108" s="5">
        <f t="shared" si="3"/>
        <v>2.7274181775825701</v>
      </c>
    </row>
    <row r="109" spans="20:39" ht="15.75" thickBot="1">
      <c r="T109" s="5">
        <v>1</v>
      </c>
      <c r="U109" s="5">
        <v>1</v>
      </c>
      <c r="V109" s="5">
        <v>2</v>
      </c>
      <c r="W109" s="6">
        <v>1</v>
      </c>
      <c r="X109" s="5">
        <v>2</v>
      </c>
      <c r="Y109" s="5">
        <v>25.21</v>
      </c>
      <c r="Z109" s="5">
        <v>4.29</v>
      </c>
      <c r="AA109" s="16">
        <f t="shared" si="2"/>
        <v>3.1714566740173922</v>
      </c>
      <c r="AB109" s="5">
        <v>4.29</v>
      </c>
      <c r="AF109" s="22" t="s">
        <v>11</v>
      </c>
      <c r="AG109" s="5" t="s">
        <v>22</v>
      </c>
      <c r="AH109" s="5" t="s">
        <v>21</v>
      </c>
      <c r="AI109" s="5" t="s">
        <v>10</v>
      </c>
      <c r="AJ109" s="5">
        <v>2</v>
      </c>
      <c r="AK109" s="5">
        <v>25.21</v>
      </c>
      <c r="AL109" s="5">
        <v>4.29</v>
      </c>
      <c r="AM109" s="5">
        <f t="shared" si="3"/>
        <v>3.1714566740173922</v>
      </c>
    </row>
    <row r="110" spans="20:39" ht="15.75" thickBot="1">
      <c r="T110" s="5">
        <v>1</v>
      </c>
      <c r="U110" s="5">
        <v>2</v>
      </c>
      <c r="V110" s="5">
        <v>2</v>
      </c>
      <c r="W110" s="6">
        <v>1</v>
      </c>
      <c r="X110" s="5">
        <v>2</v>
      </c>
      <c r="Y110" s="5">
        <v>18.239999999999998</v>
      </c>
      <c r="Z110" s="5">
        <v>3.76</v>
      </c>
      <c r="AA110" s="16">
        <f t="shared" si="2"/>
        <v>2.434706776556133</v>
      </c>
      <c r="AB110" s="5">
        <v>3.76</v>
      </c>
      <c r="AF110" s="22" t="s">
        <v>11</v>
      </c>
      <c r="AG110" s="5" t="s">
        <v>8</v>
      </c>
      <c r="AH110" s="5" t="s">
        <v>21</v>
      </c>
      <c r="AI110" s="5" t="s">
        <v>10</v>
      </c>
      <c r="AJ110" s="5">
        <v>2</v>
      </c>
      <c r="AK110" s="5">
        <v>18.239999999999998</v>
      </c>
      <c r="AL110" s="5">
        <v>3.76</v>
      </c>
      <c r="AM110" s="5">
        <f t="shared" si="3"/>
        <v>2.434706776556133</v>
      </c>
    </row>
    <row r="111" spans="20:39" ht="15.75" thickBot="1">
      <c r="T111" s="5">
        <v>2</v>
      </c>
      <c r="U111" s="5">
        <v>1</v>
      </c>
      <c r="V111" s="5">
        <v>2</v>
      </c>
      <c r="W111" s="6">
        <v>1</v>
      </c>
      <c r="X111" s="5">
        <v>2</v>
      </c>
      <c r="Y111" s="5">
        <v>14.31</v>
      </c>
      <c r="Z111" s="5">
        <v>4</v>
      </c>
      <c r="AA111" s="16">
        <f t="shared" si="2"/>
        <v>2.1752448736393291</v>
      </c>
      <c r="AB111" s="5">
        <v>4</v>
      </c>
      <c r="AF111" s="22" t="s">
        <v>7</v>
      </c>
      <c r="AG111" s="5" t="s">
        <v>22</v>
      </c>
      <c r="AH111" s="5" t="s">
        <v>21</v>
      </c>
      <c r="AI111" s="5" t="s">
        <v>10</v>
      </c>
      <c r="AJ111" s="5">
        <v>2</v>
      </c>
      <c r="AK111" s="5">
        <v>14.31</v>
      </c>
      <c r="AL111" s="5">
        <v>4</v>
      </c>
      <c r="AM111" s="5">
        <f t="shared" si="3"/>
        <v>2.1752448736393291</v>
      </c>
    </row>
    <row r="112" spans="20:39" ht="15.75" thickBot="1">
      <c r="T112" s="5">
        <v>1</v>
      </c>
      <c r="U112" s="5">
        <v>2</v>
      </c>
      <c r="V112" s="5">
        <v>2</v>
      </c>
      <c r="W112" s="6">
        <v>1</v>
      </c>
      <c r="X112" s="5">
        <v>2</v>
      </c>
      <c r="Y112" s="5">
        <v>14</v>
      </c>
      <c r="Z112" s="5">
        <v>3</v>
      </c>
      <c r="AA112" s="16">
        <f t="shared" si="2"/>
        <v>2.0358247373858696</v>
      </c>
      <c r="AB112" s="5">
        <v>3</v>
      </c>
      <c r="AF112" s="22" t="s">
        <v>11</v>
      </c>
      <c r="AG112" s="5" t="s">
        <v>8</v>
      </c>
      <c r="AH112" s="5" t="s">
        <v>21</v>
      </c>
      <c r="AI112" s="5" t="s">
        <v>10</v>
      </c>
      <c r="AJ112" s="5">
        <v>2</v>
      </c>
      <c r="AK112" s="5">
        <v>14</v>
      </c>
      <c r="AL112" s="5">
        <v>3</v>
      </c>
      <c r="AM112" s="5">
        <f t="shared" si="3"/>
        <v>2.0358247373858696</v>
      </c>
    </row>
    <row r="113" spans="20:39" ht="15.75" thickBot="1">
      <c r="T113" s="5">
        <v>2</v>
      </c>
      <c r="U113" s="5">
        <v>2</v>
      </c>
      <c r="V113" s="5">
        <v>2</v>
      </c>
      <c r="W113" s="6">
        <v>1</v>
      </c>
      <c r="X113" s="5">
        <v>1</v>
      </c>
      <c r="Y113" s="5">
        <v>7.25</v>
      </c>
      <c r="Z113" s="5">
        <v>1</v>
      </c>
      <c r="AA113" s="16">
        <f t="shared" si="2"/>
        <v>1.250661375188606</v>
      </c>
      <c r="AB113" s="5">
        <v>1</v>
      </c>
      <c r="AF113" s="22" t="s">
        <v>7</v>
      </c>
      <c r="AG113" s="5" t="s">
        <v>8</v>
      </c>
      <c r="AH113" s="5" t="s">
        <v>21</v>
      </c>
      <c r="AI113" s="5" t="s">
        <v>10</v>
      </c>
      <c r="AJ113" s="5">
        <v>1</v>
      </c>
      <c r="AK113" s="5">
        <v>7.25</v>
      </c>
      <c r="AL113" s="5">
        <v>1</v>
      </c>
      <c r="AM113" s="5">
        <f t="shared" si="3"/>
        <v>1.250661375188606</v>
      </c>
    </row>
    <row r="114" spans="20:39" ht="15.75" thickBot="1">
      <c r="T114" s="5">
        <v>1</v>
      </c>
      <c r="U114" s="5">
        <v>2</v>
      </c>
      <c r="V114" s="5">
        <v>1</v>
      </c>
      <c r="W114" s="6">
        <v>1</v>
      </c>
      <c r="X114" s="5">
        <v>3</v>
      </c>
      <c r="Y114" s="5">
        <v>38.07</v>
      </c>
      <c r="Z114" s="5">
        <v>4</v>
      </c>
      <c r="AA114" s="16">
        <f t="shared" si="2"/>
        <v>4.4874335035460966</v>
      </c>
      <c r="AB114" s="5">
        <v>4</v>
      </c>
      <c r="AF114" s="22" t="s">
        <v>11</v>
      </c>
      <c r="AG114" s="5" t="s">
        <v>8</v>
      </c>
      <c r="AH114" s="5" t="s">
        <v>9</v>
      </c>
      <c r="AI114" s="5" t="s">
        <v>10</v>
      </c>
      <c r="AJ114" s="5">
        <v>3</v>
      </c>
      <c r="AK114" s="5">
        <v>38.07</v>
      </c>
      <c r="AL114" s="5">
        <v>4</v>
      </c>
      <c r="AM114" s="5">
        <f t="shared" si="3"/>
        <v>4.4874335035460966</v>
      </c>
    </row>
    <row r="115" spans="20:39" ht="15.75" thickBot="1">
      <c r="T115" s="5">
        <v>1</v>
      </c>
      <c r="U115" s="5">
        <v>2</v>
      </c>
      <c r="V115" s="5">
        <v>1</v>
      </c>
      <c r="W115" s="6">
        <v>1</v>
      </c>
      <c r="X115" s="5">
        <v>2</v>
      </c>
      <c r="Y115" s="5">
        <v>23.95</v>
      </c>
      <c r="Z115" s="5">
        <v>2.5499999999999998</v>
      </c>
      <c r="AA115" s="16">
        <f t="shared" si="2"/>
        <v>2.9797142870946516</v>
      </c>
      <c r="AB115" s="5">
        <v>2.5499999999999998</v>
      </c>
      <c r="AF115" s="22" t="s">
        <v>11</v>
      </c>
      <c r="AG115" s="5" t="s">
        <v>8</v>
      </c>
      <c r="AH115" s="5" t="s">
        <v>9</v>
      </c>
      <c r="AI115" s="5" t="s">
        <v>10</v>
      </c>
      <c r="AJ115" s="5">
        <v>2</v>
      </c>
      <c r="AK115" s="5">
        <v>23.95</v>
      </c>
      <c r="AL115" s="5">
        <v>2.5499999999999998</v>
      </c>
      <c r="AM115" s="5">
        <f t="shared" si="3"/>
        <v>2.9797142870946516</v>
      </c>
    </row>
    <row r="116" spans="20:39" ht="15.75" thickBot="1">
      <c r="T116" s="5">
        <v>2</v>
      </c>
      <c r="U116" s="5">
        <v>2</v>
      </c>
      <c r="V116" s="5">
        <v>1</v>
      </c>
      <c r="W116" s="6">
        <v>1</v>
      </c>
      <c r="X116" s="5">
        <v>3</v>
      </c>
      <c r="Y116" s="5">
        <v>25.71</v>
      </c>
      <c r="Z116" s="5">
        <v>4</v>
      </c>
      <c r="AA116" s="16">
        <f t="shared" si="2"/>
        <v>3.3538708123216692</v>
      </c>
      <c r="AB116" s="5">
        <v>4</v>
      </c>
      <c r="AF116" s="22" t="s">
        <v>7</v>
      </c>
      <c r="AG116" s="5" t="s">
        <v>8</v>
      </c>
      <c r="AH116" s="5" t="s">
        <v>9</v>
      </c>
      <c r="AI116" s="5" t="s">
        <v>10</v>
      </c>
      <c r="AJ116" s="5">
        <v>3</v>
      </c>
      <c r="AK116" s="5">
        <v>25.71</v>
      </c>
      <c r="AL116" s="5">
        <v>4</v>
      </c>
      <c r="AM116" s="5">
        <f t="shared" si="3"/>
        <v>3.3538708123216692</v>
      </c>
    </row>
    <row r="117" spans="20:39" ht="15.75" thickBot="1">
      <c r="T117" s="5">
        <v>2</v>
      </c>
      <c r="U117" s="5">
        <v>2</v>
      </c>
      <c r="V117" s="5">
        <v>1</v>
      </c>
      <c r="W117" s="6">
        <v>1</v>
      </c>
      <c r="X117" s="5">
        <v>2</v>
      </c>
      <c r="Y117" s="5">
        <v>17.309999999999999</v>
      </c>
      <c r="Z117" s="5">
        <v>3.5</v>
      </c>
      <c r="AA117" s="16">
        <f t="shared" si="2"/>
        <v>2.3842660449395421</v>
      </c>
      <c r="AB117" s="5">
        <v>3.5</v>
      </c>
      <c r="AF117" s="22" t="s">
        <v>7</v>
      </c>
      <c r="AG117" s="5" t="s">
        <v>8</v>
      </c>
      <c r="AH117" s="5" t="s">
        <v>9</v>
      </c>
      <c r="AI117" s="5" t="s">
        <v>10</v>
      </c>
      <c r="AJ117" s="5">
        <v>2</v>
      </c>
      <c r="AK117" s="5">
        <v>17.309999999999999</v>
      </c>
      <c r="AL117" s="5">
        <v>3.5</v>
      </c>
      <c r="AM117" s="5">
        <f t="shared" si="3"/>
        <v>2.3842660449395421</v>
      </c>
    </row>
    <row r="118" spans="20:39" ht="15.75" thickBot="1">
      <c r="T118" s="5">
        <v>1</v>
      </c>
      <c r="U118" s="5">
        <v>2</v>
      </c>
      <c r="V118" s="5">
        <v>1</v>
      </c>
      <c r="W118" s="6">
        <v>1</v>
      </c>
      <c r="X118" s="5">
        <v>4</v>
      </c>
      <c r="Y118" s="5">
        <v>29.93</v>
      </c>
      <c r="Z118" s="5">
        <v>5.07</v>
      </c>
      <c r="AA118" s="16">
        <f t="shared" si="2"/>
        <v>3.9010220143536571</v>
      </c>
      <c r="AB118" s="5">
        <v>5.07</v>
      </c>
      <c r="AF118" s="22" t="s">
        <v>11</v>
      </c>
      <c r="AG118" s="5" t="s">
        <v>8</v>
      </c>
      <c r="AH118" s="5" t="s">
        <v>9</v>
      </c>
      <c r="AI118" s="5" t="s">
        <v>10</v>
      </c>
      <c r="AJ118" s="5">
        <v>4</v>
      </c>
      <c r="AK118" s="5">
        <v>29.93</v>
      </c>
      <c r="AL118" s="5">
        <v>5.07</v>
      </c>
      <c r="AM118" s="5">
        <f t="shared" si="3"/>
        <v>3.9010220143536571</v>
      </c>
    </row>
    <row r="119" spans="20:39" ht="15.75" thickBot="1">
      <c r="T119" s="5">
        <v>2</v>
      </c>
      <c r="U119" s="5">
        <v>2</v>
      </c>
      <c r="V119" s="5">
        <v>3</v>
      </c>
      <c r="W119" s="6">
        <v>2</v>
      </c>
      <c r="X119" s="5">
        <v>2</v>
      </c>
      <c r="Y119" s="5">
        <v>10.65</v>
      </c>
      <c r="Z119" s="5">
        <v>1.5</v>
      </c>
      <c r="AA119" s="16">
        <f t="shared" si="2"/>
        <v>1.7363320182935336</v>
      </c>
      <c r="AB119" s="5">
        <v>1.5</v>
      </c>
      <c r="AF119" s="22" t="s">
        <v>7</v>
      </c>
      <c r="AG119" s="5" t="s">
        <v>8</v>
      </c>
      <c r="AH119" s="5" t="s">
        <v>23</v>
      </c>
      <c r="AI119" s="5" t="s">
        <v>24</v>
      </c>
      <c r="AJ119" s="5">
        <v>2</v>
      </c>
      <c r="AK119" s="5">
        <v>10.65</v>
      </c>
      <c r="AL119" s="5">
        <v>1.5</v>
      </c>
      <c r="AM119" s="5">
        <f t="shared" si="3"/>
        <v>1.7363320182935336</v>
      </c>
    </row>
    <row r="120" spans="20:39" ht="15.75" thickBot="1">
      <c r="T120" s="5">
        <v>2</v>
      </c>
      <c r="U120" s="5">
        <v>2</v>
      </c>
      <c r="V120" s="5">
        <v>3</v>
      </c>
      <c r="W120" s="6">
        <v>2</v>
      </c>
      <c r="X120" s="5">
        <v>2</v>
      </c>
      <c r="Y120" s="5">
        <v>12.43</v>
      </c>
      <c r="Z120" s="5">
        <v>1.8</v>
      </c>
      <c r="AA120" s="16">
        <f t="shared" si="2"/>
        <v>1.9037872139829366</v>
      </c>
      <c r="AB120" s="5">
        <v>1.8</v>
      </c>
      <c r="AF120" s="22" t="s">
        <v>7</v>
      </c>
      <c r="AG120" s="5" t="s">
        <v>8</v>
      </c>
      <c r="AH120" s="5" t="s">
        <v>23</v>
      </c>
      <c r="AI120" s="5" t="s">
        <v>24</v>
      </c>
      <c r="AJ120" s="5">
        <v>2</v>
      </c>
      <c r="AK120" s="5">
        <v>12.43</v>
      </c>
      <c r="AL120" s="5">
        <v>1.8</v>
      </c>
      <c r="AM120" s="5">
        <f t="shared" si="3"/>
        <v>1.9037872139829366</v>
      </c>
    </row>
    <row r="121" spans="20:39" ht="15.75" thickBot="1">
      <c r="T121" s="5">
        <v>2</v>
      </c>
      <c r="U121" s="5">
        <v>2</v>
      </c>
      <c r="V121" s="5">
        <v>3</v>
      </c>
      <c r="W121" s="6">
        <v>2</v>
      </c>
      <c r="X121" s="5">
        <v>4</v>
      </c>
      <c r="Y121" s="5">
        <v>24.08</v>
      </c>
      <c r="Z121" s="5">
        <v>2.92</v>
      </c>
      <c r="AA121" s="16">
        <f t="shared" si="2"/>
        <v>3.3585055926795357</v>
      </c>
      <c r="AB121" s="5">
        <v>2.92</v>
      </c>
      <c r="AF121" s="22" t="s">
        <v>7</v>
      </c>
      <c r="AG121" s="5" t="s">
        <v>8</v>
      </c>
      <c r="AH121" s="5" t="s">
        <v>23</v>
      </c>
      <c r="AI121" s="5" t="s">
        <v>24</v>
      </c>
      <c r="AJ121" s="5">
        <v>4</v>
      </c>
      <c r="AK121" s="5">
        <v>24.08</v>
      </c>
      <c r="AL121" s="5">
        <v>2.92</v>
      </c>
      <c r="AM121" s="5">
        <f t="shared" si="3"/>
        <v>3.3585055926795357</v>
      </c>
    </row>
    <row r="122" spans="20:39" ht="15.75" thickBot="1">
      <c r="T122" s="5">
        <v>1</v>
      </c>
      <c r="U122" s="5">
        <v>2</v>
      </c>
      <c r="V122" s="5">
        <v>3</v>
      </c>
      <c r="W122" s="6">
        <v>2</v>
      </c>
      <c r="X122" s="5">
        <v>2</v>
      </c>
      <c r="Y122" s="5">
        <v>11.69</v>
      </c>
      <c r="Z122" s="5">
        <v>2.31</v>
      </c>
      <c r="AA122" s="16">
        <f t="shared" si="2"/>
        <v>1.8049549256954642</v>
      </c>
      <c r="AB122" s="5">
        <v>2.31</v>
      </c>
      <c r="AF122" s="22" t="s">
        <v>11</v>
      </c>
      <c r="AG122" s="5" t="s">
        <v>8</v>
      </c>
      <c r="AH122" s="5" t="s">
        <v>23</v>
      </c>
      <c r="AI122" s="5" t="s">
        <v>24</v>
      </c>
      <c r="AJ122" s="5">
        <v>2</v>
      </c>
      <c r="AK122" s="5">
        <v>11.69</v>
      </c>
      <c r="AL122" s="5">
        <v>2.31</v>
      </c>
      <c r="AM122" s="5">
        <f t="shared" si="3"/>
        <v>1.8049549256954642</v>
      </c>
    </row>
    <row r="123" spans="20:39" ht="15.75" thickBot="1">
      <c r="T123" s="5">
        <v>2</v>
      </c>
      <c r="U123" s="5">
        <v>2</v>
      </c>
      <c r="V123" s="5">
        <v>3</v>
      </c>
      <c r="W123" s="6">
        <v>2</v>
      </c>
      <c r="X123" s="5">
        <v>2</v>
      </c>
      <c r="Y123" s="5">
        <v>13.42</v>
      </c>
      <c r="Z123" s="5">
        <v>1.68</v>
      </c>
      <c r="AA123" s="16">
        <f t="shared" si="2"/>
        <v>1.9969224070910878</v>
      </c>
      <c r="AB123" s="5">
        <v>1.68</v>
      </c>
      <c r="AF123" s="22" t="s">
        <v>7</v>
      </c>
      <c r="AG123" s="5" t="s">
        <v>8</v>
      </c>
      <c r="AH123" s="5" t="s">
        <v>23</v>
      </c>
      <c r="AI123" s="5" t="s">
        <v>24</v>
      </c>
      <c r="AJ123" s="5">
        <v>2</v>
      </c>
      <c r="AK123" s="5">
        <v>13.42</v>
      </c>
      <c r="AL123" s="5">
        <v>1.68</v>
      </c>
      <c r="AM123" s="5">
        <f t="shared" si="3"/>
        <v>1.9969224070910878</v>
      </c>
    </row>
    <row r="124" spans="20:39" ht="15.75" thickBot="1">
      <c r="T124" s="5">
        <v>1</v>
      </c>
      <c r="U124" s="5">
        <v>2</v>
      </c>
      <c r="V124" s="5">
        <v>3</v>
      </c>
      <c r="W124" s="6">
        <v>2</v>
      </c>
      <c r="X124" s="5">
        <v>2</v>
      </c>
      <c r="Y124" s="5">
        <v>14.26</v>
      </c>
      <c r="Z124" s="5">
        <v>2.5</v>
      </c>
      <c r="AA124" s="16">
        <f t="shared" si="2"/>
        <v>2.0467301239661193</v>
      </c>
      <c r="AB124" s="5">
        <v>2.5</v>
      </c>
      <c r="AF124" s="22" t="s">
        <v>11</v>
      </c>
      <c r="AG124" s="5" t="s">
        <v>8</v>
      </c>
      <c r="AH124" s="5" t="s">
        <v>23</v>
      </c>
      <c r="AI124" s="5" t="s">
        <v>24</v>
      </c>
      <c r="AJ124" s="5">
        <v>2</v>
      </c>
      <c r="AK124" s="5">
        <v>14.26</v>
      </c>
      <c r="AL124" s="5">
        <v>2.5</v>
      </c>
      <c r="AM124" s="5">
        <f t="shared" si="3"/>
        <v>2.0467301239661193</v>
      </c>
    </row>
    <row r="125" spans="20:39" ht="15.75" thickBot="1">
      <c r="T125" s="5">
        <v>1</v>
      </c>
      <c r="U125" s="5">
        <v>2</v>
      </c>
      <c r="V125" s="5">
        <v>3</v>
      </c>
      <c r="W125" s="6">
        <v>2</v>
      </c>
      <c r="X125" s="5">
        <v>2</v>
      </c>
      <c r="Y125" s="5">
        <v>15.95</v>
      </c>
      <c r="Z125" s="5">
        <v>2</v>
      </c>
      <c r="AA125" s="16">
        <f t="shared" si="2"/>
        <v>2.2057184839184183</v>
      </c>
      <c r="AB125" s="5">
        <v>2</v>
      </c>
      <c r="AF125" s="22" t="s">
        <v>11</v>
      </c>
      <c r="AG125" s="5" t="s">
        <v>8</v>
      </c>
      <c r="AH125" s="5" t="s">
        <v>23</v>
      </c>
      <c r="AI125" s="5" t="s">
        <v>24</v>
      </c>
      <c r="AJ125" s="5">
        <v>2</v>
      </c>
      <c r="AK125" s="5">
        <v>15.95</v>
      </c>
      <c r="AL125" s="5">
        <v>2</v>
      </c>
      <c r="AM125" s="5">
        <f t="shared" si="3"/>
        <v>2.2057184839184183</v>
      </c>
    </row>
    <row r="126" spans="20:39" ht="15.75" thickBot="1">
      <c r="T126" s="5">
        <v>2</v>
      </c>
      <c r="U126" s="5">
        <v>2</v>
      </c>
      <c r="V126" s="5">
        <v>3</v>
      </c>
      <c r="W126" s="6">
        <v>2</v>
      </c>
      <c r="X126" s="5">
        <v>2</v>
      </c>
      <c r="Y126" s="5">
        <v>12.48</v>
      </c>
      <c r="Z126" s="5">
        <v>2.52</v>
      </c>
      <c r="AA126" s="16">
        <f t="shared" si="2"/>
        <v>1.9084910116146616</v>
      </c>
      <c r="AB126" s="5">
        <v>2.52</v>
      </c>
      <c r="AF126" s="22" t="s">
        <v>7</v>
      </c>
      <c r="AG126" s="5" t="s">
        <v>8</v>
      </c>
      <c r="AH126" s="5" t="s">
        <v>23</v>
      </c>
      <c r="AI126" s="5" t="s">
        <v>24</v>
      </c>
      <c r="AJ126" s="5">
        <v>2</v>
      </c>
      <c r="AK126" s="5">
        <v>12.48</v>
      </c>
      <c r="AL126" s="5">
        <v>2.52</v>
      </c>
      <c r="AM126" s="5">
        <f t="shared" si="3"/>
        <v>1.9084910116146616</v>
      </c>
    </row>
    <row r="127" spans="20:39" ht="15.75" thickBot="1">
      <c r="T127" s="5">
        <v>2</v>
      </c>
      <c r="U127" s="5">
        <v>2</v>
      </c>
      <c r="V127" s="5">
        <v>3</v>
      </c>
      <c r="W127" s="6">
        <v>2</v>
      </c>
      <c r="X127" s="5">
        <v>6</v>
      </c>
      <c r="Y127" s="5">
        <v>29.8</v>
      </c>
      <c r="Z127" s="5">
        <v>4.2</v>
      </c>
      <c r="AA127" s="16">
        <f t="shared" si="2"/>
        <v>4.2553535722535729</v>
      </c>
      <c r="AB127" s="5">
        <v>4.2</v>
      </c>
      <c r="AF127" s="22" t="s">
        <v>7</v>
      </c>
      <c r="AG127" s="5" t="s">
        <v>8</v>
      </c>
      <c r="AH127" s="5" t="s">
        <v>23</v>
      </c>
      <c r="AI127" s="5" t="s">
        <v>24</v>
      </c>
      <c r="AJ127" s="5">
        <v>6</v>
      </c>
      <c r="AK127" s="5">
        <v>29.8</v>
      </c>
      <c r="AL127" s="5">
        <v>4.2</v>
      </c>
      <c r="AM127" s="5">
        <f t="shared" si="3"/>
        <v>4.2553535722535729</v>
      </c>
    </row>
    <row r="128" spans="20:39" ht="15.75" thickBot="1">
      <c r="T128" s="5">
        <v>1</v>
      </c>
      <c r="U128" s="5">
        <v>2</v>
      </c>
      <c r="V128" s="5">
        <v>3</v>
      </c>
      <c r="W128" s="6">
        <v>2</v>
      </c>
      <c r="X128" s="5">
        <v>2</v>
      </c>
      <c r="Y128" s="5">
        <v>8.52</v>
      </c>
      <c r="Z128" s="5">
        <v>1.48</v>
      </c>
      <c r="AA128" s="16">
        <f t="shared" si="2"/>
        <v>1.5067341558441116</v>
      </c>
      <c r="AB128" s="5">
        <v>1.48</v>
      </c>
      <c r="AF128" s="22" t="s">
        <v>11</v>
      </c>
      <c r="AG128" s="5" t="s">
        <v>8</v>
      </c>
      <c r="AH128" s="5" t="s">
        <v>23</v>
      </c>
      <c r="AI128" s="5" t="s">
        <v>24</v>
      </c>
      <c r="AJ128" s="5">
        <v>2</v>
      </c>
      <c r="AK128" s="5">
        <v>8.52</v>
      </c>
      <c r="AL128" s="5">
        <v>1.48</v>
      </c>
      <c r="AM128" s="5">
        <f t="shared" si="3"/>
        <v>1.5067341558441116</v>
      </c>
    </row>
    <row r="129" spans="20:39" ht="15.75" thickBot="1">
      <c r="T129" s="5">
        <v>2</v>
      </c>
      <c r="U129" s="5">
        <v>2</v>
      </c>
      <c r="V129" s="5">
        <v>3</v>
      </c>
      <c r="W129" s="6">
        <v>2</v>
      </c>
      <c r="X129" s="5">
        <v>2</v>
      </c>
      <c r="Y129" s="5">
        <v>14.52</v>
      </c>
      <c r="Z129" s="5">
        <v>2</v>
      </c>
      <c r="AA129" s="16">
        <f t="shared" si="2"/>
        <v>2.1004059549890339</v>
      </c>
      <c r="AB129" s="5">
        <v>2</v>
      </c>
      <c r="AF129" s="22" t="s">
        <v>7</v>
      </c>
      <c r="AG129" s="5" t="s">
        <v>8</v>
      </c>
      <c r="AH129" s="5" t="s">
        <v>23</v>
      </c>
      <c r="AI129" s="5" t="s">
        <v>24</v>
      </c>
      <c r="AJ129" s="5">
        <v>2</v>
      </c>
      <c r="AK129" s="5">
        <v>14.52</v>
      </c>
      <c r="AL129" s="5">
        <v>2</v>
      </c>
      <c r="AM129" s="5">
        <f t="shared" si="3"/>
        <v>2.1004059549890339</v>
      </c>
    </row>
    <row r="130" spans="20:39" ht="15.75" thickBot="1">
      <c r="T130" s="5">
        <v>2</v>
      </c>
      <c r="U130" s="5">
        <v>2</v>
      </c>
      <c r="V130" s="5">
        <v>3</v>
      </c>
      <c r="W130" s="6">
        <v>2</v>
      </c>
      <c r="X130" s="5">
        <v>2</v>
      </c>
      <c r="Y130" s="5">
        <v>11.38</v>
      </c>
      <c r="Z130" s="5">
        <v>2</v>
      </c>
      <c r="AA130" s="16">
        <f t="shared" si="2"/>
        <v>1.8050074637167157</v>
      </c>
      <c r="AB130" s="5">
        <v>2</v>
      </c>
      <c r="AF130" s="22" t="s">
        <v>7</v>
      </c>
      <c r="AG130" s="5" t="s">
        <v>8</v>
      </c>
      <c r="AH130" s="5" t="s">
        <v>23</v>
      </c>
      <c r="AI130" s="5" t="s">
        <v>24</v>
      </c>
      <c r="AJ130" s="5">
        <v>2</v>
      </c>
      <c r="AK130" s="5">
        <v>11.38</v>
      </c>
      <c r="AL130" s="5">
        <v>2</v>
      </c>
      <c r="AM130" s="5">
        <f t="shared" si="3"/>
        <v>1.8050074637167157</v>
      </c>
    </row>
    <row r="131" spans="20:39" ht="15.75" thickBot="1">
      <c r="T131" s="5">
        <v>1</v>
      </c>
      <c r="U131" s="5">
        <v>2</v>
      </c>
      <c r="V131" s="5">
        <v>3</v>
      </c>
      <c r="W131" s="6">
        <v>2</v>
      </c>
      <c r="X131" s="5">
        <v>3</v>
      </c>
      <c r="Y131" s="5">
        <v>22.82</v>
      </c>
      <c r="Z131" s="5">
        <v>2.1800000000000002</v>
      </c>
      <c r="AA131" s="16">
        <f t="shared" ref="AA131:AA194" si="4" xml:space="preserve"> $L$27+ $T131*($L$30) - $U131*($L$31) + $V131*($L$32) - $W131*($L$33) + $X131*($L$28) + $Y131*($L$29)</f>
        <v>3.0313870437697661</v>
      </c>
      <c r="AB131" s="5">
        <v>2.1800000000000002</v>
      </c>
      <c r="AF131" s="22" t="s">
        <v>11</v>
      </c>
      <c r="AG131" s="5" t="s">
        <v>8</v>
      </c>
      <c r="AH131" s="5" t="s">
        <v>23</v>
      </c>
      <c r="AI131" s="5" t="s">
        <v>24</v>
      </c>
      <c r="AJ131" s="5">
        <v>3</v>
      </c>
      <c r="AK131" s="5">
        <v>22.82</v>
      </c>
      <c r="AL131" s="5">
        <v>2.1800000000000002</v>
      </c>
      <c r="AM131" s="5">
        <f t="shared" ref="AM131:AM194" si="5" xml:space="preserve"> $L$27+ $T131*($L$30) - $U131*($L$31) + $V131*($L$32) - $W131*($L$33) + $X131*($L$28) + $Y131*($L$29)</f>
        <v>3.0313870437697661</v>
      </c>
    </row>
    <row r="132" spans="20:39" ht="15.75" thickBot="1">
      <c r="T132" s="5">
        <v>1</v>
      </c>
      <c r="U132" s="5">
        <v>2</v>
      </c>
      <c r="V132" s="5">
        <v>3</v>
      </c>
      <c r="W132" s="6">
        <v>2</v>
      </c>
      <c r="X132" s="5">
        <v>2</v>
      </c>
      <c r="Y132" s="5">
        <v>19.079999999999998</v>
      </c>
      <c r="Z132" s="5">
        <v>1.5</v>
      </c>
      <c r="AA132" s="16">
        <f t="shared" si="4"/>
        <v>2.500176215664391</v>
      </c>
      <c r="AB132" s="5">
        <v>1.5</v>
      </c>
      <c r="AF132" s="22" t="s">
        <v>11</v>
      </c>
      <c r="AG132" s="5" t="s">
        <v>8</v>
      </c>
      <c r="AH132" s="5" t="s">
        <v>23</v>
      </c>
      <c r="AI132" s="5" t="s">
        <v>24</v>
      </c>
      <c r="AJ132" s="5">
        <v>2</v>
      </c>
      <c r="AK132" s="5">
        <v>19.079999999999998</v>
      </c>
      <c r="AL132" s="5">
        <v>1.5</v>
      </c>
      <c r="AM132" s="5">
        <f t="shared" si="5"/>
        <v>2.500176215664391</v>
      </c>
    </row>
    <row r="133" spans="20:39" ht="15.75" thickBot="1">
      <c r="T133" s="5">
        <v>2</v>
      </c>
      <c r="U133" s="5">
        <v>2</v>
      </c>
      <c r="V133" s="5">
        <v>3</v>
      </c>
      <c r="W133" s="6">
        <v>2</v>
      </c>
      <c r="X133" s="5">
        <v>2</v>
      </c>
      <c r="Y133" s="5">
        <v>20.27</v>
      </c>
      <c r="Z133" s="5">
        <v>2.83</v>
      </c>
      <c r="AA133" s="16">
        <f t="shared" si="4"/>
        <v>2.6413426826373865</v>
      </c>
      <c r="AB133" s="5">
        <v>2.83</v>
      </c>
      <c r="AF133" s="22" t="s">
        <v>7</v>
      </c>
      <c r="AG133" s="5" t="s">
        <v>8</v>
      </c>
      <c r="AH133" s="5" t="s">
        <v>23</v>
      </c>
      <c r="AI133" s="5" t="s">
        <v>24</v>
      </c>
      <c r="AJ133" s="5">
        <v>2</v>
      </c>
      <c r="AK133" s="5">
        <v>20.27</v>
      </c>
      <c r="AL133" s="5">
        <v>2.83</v>
      </c>
      <c r="AM133" s="5">
        <f t="shared" si="5"/>
        <v>2.6413426826373865</v>
      </c>
    </row>
    <row r="134" spans="20:39" ht="15.75" thickBot="1">
      <c r="T134" s="5">
        <v>2</v>
      </c>
      <c r="U134" s="5">
        <v>2</v>
      </c>
      <c r="V134" s="5">
        <v>3</v>
      </c>
      <c r="W134" s="6">
        <v>2</v>
      </c>
      <c r="X134" s="5">
        <v>2</v>
      </c>
      <c r="Y134" s="5">
        <v>11.17</v>
      </c>
      <c r="Z134" s="5">
        <v>1.5</v>
      </c>
      <c r="AA134" s="16">
        <f t="shared" si="4"/>
        <v>1.7852515136634715</v>
      </c>
      <c r="AB134" s="5">
        <v>1.5</v>
      </c>
      <c r="AF134" s="22" t="s">
        <v>7</v>
      </c>
      <c r="AG134" s="5" t="s">
        <v>8</v>
      </c>
      <c r="AH134" s="5" t="s">
        <v>23</v>
      </c>
      <c r="AI134" s="5" t="s">
        <v>24</v>
      </c>
      <c r="AJ134" s="5">
        <v>2</v>
      </c>
      <c r="AK134" s="5">
        <v>11.17</v>
      </c>
      <c r="AL134" s="5">
        <v>1.5</v>
      </c>
      <c r="AM134" s="5">
        <f t="shared" si="5"/>
        <v>1.7852515136634715</v>
      </c>
    </row>
    <row r="135" spans="20:39" ht="15.75" thickBot="1">
      <c r="T135" s="5">
        <v>2</v>
      </c>
      <c r="U135" s="5">
        <v>2</v>
      </c>
      <c r="V135" s="5">
        <v>3</v>
      </c>
      <c r="W135" s="6">
        <v>2</v>
      </c>
      <c r="X135" s="5">
        <v>2</v>
      </c>
      <c r="Y135" s="5">
        <v>12.26</v>
      </c>
      <c r="Z135" s="5">
        <v>2</v>
      </c>
      <c r="AA135" s="16">
        <f t="shared" si="4"/>
        <v>1.8877943020350723</v>
      </c>
      <c r="AB135" s="5">
        <v>2</v>
      </c>
      <c r="AF135" s="22" t="s">
        <v>7</v>
      </c>
      <c r="AG135" s="5" t="s">
        <v>8</v>
      </c>
      <c r="AH135" s="5" t="s">
        <v>23</v>
      </c>
      <c r="AI135" s="5" t="s">
        <v>24</v>
      </c>
      <c r="AJ135" s="5">
        <v>2</v>
      </c>
      <c r="AK135" s="5">
        <v>12.26</v>
      </c>
      <c r="AL135" s="5">
        <v>2</v>
      </c>
      <c r="AM135" s="5">
        <f t="shared" si="5"/>
        <v>1.8877943020350723</v>
      </c>
    </row>
    <row r="136" spans="20:39" ht="15.75" thickBot="1">
      <c r="T136" s="5">
        <v>2</v>
      </c>
      <c r="U136" s="5">
        <v>2</v>
      </c>
      <c r="V136" s="5">
        <v>3</v>
      </c>
      <c r="W136" s="6">
        <v>2</v>
      </c>
      <c r="X136" s="5">
        <v>2</v>
      </c>
      <c r="Y136" s="5">
        <v>18.260000000000002</v>
      </c>
      <c r="Z136" s="5">
        <v>3.25</v>
      </c>
      <c r="AA136" s="16">
        <f t="shared" si="4"/>
        <v>2.4522500178420494</v>
      </c>
      <c r="AB136" s="5">
        <v>3.25</v>
      </c>
      <c r="AF136" s="22" t="s">
        <v>7</v>
      </c>
      <c r="AG136" s="5" t="s">
        <v>8</v>
      </c>
      <c r="AH136" s="5" t="s">
        <v>23</v>
      </c>
      <c r="AI136" s="5" t="s">
        <v>24</v>
      </c>
      <c r="AJ136" s="5">
        <v>2</v>
      </c>
      <c r="AK136" s="5">
        <v>18.260000000000002</v>
      </c>
      <c r="AL136" s="5">
        <v>3.25</v>
      </c>
      <c r="AM136" s="5">
        <f t="shared" si="5"/>
        <v>2.4522500178420494</v>
      </c>
    </row>
    <row r="137" spans="20:39" ht="15.75" thickBot="1">
      <c r="T137" s="5">
        <v>2</v>
      </c>
      <c r="U137" s="5">
        <v>2</v>
      </c>
      <c r="V137" s="5">
        <v>3</v>
      </c>
      <c r="W137" s="6">
        <v>2</v>
      </c>
      <c r="X137" s="5">
        <v>2</v>
      </c>
      <c r="Y137" s="5">
        <v>8.51</v>
      </c>
      <c r="Z137" s="5">
        <v>1.25</v>
      </c>
      <c r="AA137" s="16">
        <f t="shared" si="4"/>
        <v>1.5350094796557117</v>
      </c>
      <c r="AB137" s="5">
        <v>1.25</v>
      </c>
      <c r="AF137" s="22" t="s">
        <v>7</v>
      </c>
      <c r="AG137" s="5" t="s">
        <v>8</v>
      </c>
      <c r="AH137" s="5" t="s">
        <v>23</v>
      </c>
      <c r="AI137" s="5" t="s">
        <v>24</v>
      </c>
      <c r="AJ137" s="5">
        <v>2</v>
      </c>
      <c r="AK137" s="5">
        <v>8.51</v>
      </c>
      <c r="AL137" s="5">
        <v>1.25</v>
      </c>
      <c r="AM137" s="5">
        <f t="shared" si="5"/>
        <v>1.5350094796557117</v>
      </c>
    </row>
    <row r="138" spans="20:39" ht="15.75" thickBot="1">
      <c r="T138" s="5">
        <v>2</v>
      </c>
      <c r="U138" s="5">
        <v>2</v>
      </c>
      <c r="V138" s="5">
        <v>3</v>
      </c>
      <c r="W138" s="6">
        <v>2</v>
      </c>
      <c r="X138" s="5">
        <v>2</v>
      </c>
      <c r="Y138" s="5">
        <v>10.33</v>
      </c>
      <c r="Z138" s="5">
        <v>2</v>
      </c>
      <c r="AA138" s="16">
        <f t="shared" si="4"/>
        <v>1.7062277134504948</v>
      </c>
      <c r="AB138" s="5">
        <v>2</v>
      </c>
      <c r="AF138" s="22" t="s">
        <v>7</v>
      </c>
      <c r="AG138" s="5" t="s">
        <v>8</v>
      </c>
      <c r="AH138" s="5" t="s">
        <v>23</v>
      </c>
      <c r="AI138" s="5" t="s">
        <v>24</v>
      </c>
      <c r="AJ138" s="5">
        <v>2</v>
      </c>
      <c r="AK138" s="5">
        <v>10.33</v>
      </c>
      <c r="AL138" s="5">
        <v>2</v>
      </c>
      <c r="AM138" s="5">
        <f t="shared" si="5"/>
        <v>1.7062277134504948</v>
      </c>
    </row>
    <row r="139" spans="20:39" ht="15.75" thickBot="1">
      <c r="T139" s="5">
        <v>2</v>
      </c>
      <c r="U139" s="5">
        <v>2</v>
      </c>
      <c r="V139" s="5">
        <v>3</v>
      </c>
      <c r="W139" s="6">
        <v>2</v>
      </c>
      <c r="X139" s="5">
        <v>2</v>
      </c>
      <c r="Y139" s="5">
        <v>14.15</v>
      </c>
      <c r="Z139" s="5">
        <v>2</v>
      </c>
      <c r="AA139" s="16">
        <f t="shared" si="4"/>
        <v>2.0655978525142702</v>
      </c>
      <c r="AB139" s="5">
        <v>2</v>
      </c>
      <c r="AF139" s="22" t="s">
        <v>7</v>
      </c>
      <c r="AG139" s="5" t="s">
        <v>8</v>
      </c>
      <c r="AH139" s="5" t="s">
        <v>23</v>
      </c>
      <c r="AI139" s="5" t="s">
        <v>24</v>
      </c>
      <c r="AJ139" s="5">
        <v>2</v>
      </c>
      <c r="AK139" s="5">
        <v>14.15</v>
      </c>
      <c r="AL139" s="5">
        <v>2</v>
      </c>
      <c r="AM139" s="5">
        <f t="shared" si="5"/>
        <v>2.0655978525142702</v>
      </c>
    </row>
    <row r="140" spans="20:39" ht="15.75" thickBot="1">
      <c r="T140" s="5">
        <v>1</v>
      </c>
      <c r="U140" s="5">
        <v>1</v>
      </c>
      <c r="V140" s="5">
        <v>3</v>
      </c>
      <c r="W140" s="6">
        <v>2</v>
      </c>
      <c r="X140" s="5">
        <v>2</v>
      </c>
      <c r="Y140" s="5">
        <v>16</v>
      </c>
      <c r="Z140" s="5">
        <v>2</v>
      </c>
      <c r="AA140" s="16">
        <f t="shared" si="4"/>
        <v>2.2914627891489632</v>
      </c>
      <c r="AB140" s="5">
        <v>2</v>
      </c>
      <c r="AF140" s="22" t="s">
        <v>11</v>
      </c>
      <c r="AG140" s="5" t="s">
        <v>22</v>
      </c>
      <c r="AH140" s="5" t="s">
        <v>23</v>
      </c>
      <c r="AI140" s="5" t="s">
        <v>24</v>
      </c>
      <c r="AJ140" s="5">
        <v>2</v>
      </c>
      <c r="AK140" s="5">
        <v>16</v>
      </c>
      <c r="AL140" s="5">
        <v>2</v>
      </c>
      <c r="AM140" s="5">
        <f t="shared" si="5"/>
        <v>2.2914627891489632</v>
      </c>
    </row>
    <row r="141" spans="20:39" ht="15.75" thickBot="1">
      <c r="T141" s="5">
        <v>2</v>
      </c>
      <c r="U141" s="5">
        <v>2</v>
      </c>
      <c r="V141" s="5">
        <v>3</v>
      </c>
      <c r="W141" s="6">
        <v>2</v>
      </c>
      <c r="X141" s="5">
        <v>2</v>
      </c>
      <c r="Y141" s="5">
        <v>13.16</v>
      </c>
      <c r="Z141" s="5">
        <v>2.75</v>
      </c>
      <c r="AA141" s="16">
        <f t="shared" si="4"/>
        <v>1.972462659406119</v>
      </c>
      <c r="AB141" s="5">
        <v>2.75</v>
      </c>
      <c r="AF141" s="22" t="s">
        <v>7</v>
      </c>
      <c r="AG141" s="5" t="s">
        <v>8</v>
      </c>
      <c r="AH141" s="5" t="s">
        <v>23</v>
      </c>
      <c r="AI141" s="5" t="s">
        <v>24</v>
      </c>
      <c r="AJ141" s="5">
        <v>2</v>
      </c>
      <c r="AK141" s="5">
        <v>13.16</v>
      </c>
      <c r="AL141" s="5">
        <v>2.75</v>
      </c>
      <c r="AM141" s="5">
        <f t="shared" si="5"/>
        <v>1.972462659406119</v>
      </c>
    </row>
    <row r="142" spans="20:39" ht="15.75" thickBot="1">
      <c r="T142" s="5">
        <v>2</v>
      </c>
      <c r="U142" s="5">
        <v>2</v>
      </c>
      <c r="V142" s="5">
        <v>3</v>
      </c>
      <c r="W142" s="6">
        <v>2</v>
      </c>
      <c r="X142" s="5">
        <v>2</v>
      </c>
      <c r="Y142" s="5">
        <v>17.47</v>
      </c>
      <c r="Z142" s="5">
        <v>3.5</v>
      </c>
      <c r="AA142" s="16">
        <f t="shared" si="4"/>
        <v>2.3779300152607972</v>
      </c>
      <c r="AB142" s="5">
        <v>3.5</v>
      </c>
      <c r="AF142" s="22" t="s">
        <v>7</v>
      </c>
      <c r="AG142" s="5" t="s">
        <v>8</v>
      </c>
      <c r="AH142" s="5" t="s">
        <v>23</v>
      </c>
      <c r="AI142" s="5" t="s">
        <v>24</v>
      </c>
      <c r="AJ142" s="5">
        <v>2</v>
      </c>
      <c r="AK142" s="5">
        <v>17.47</v>
      </c>
      <c r="AL142" s="5">
        <v>3.5</v>
      </c>
      <c r="AM142" s="5">
        <f t="shared" si="5"/>
        <v>2.3779300152607972</v>
      </c>
    </row>
    <row r="143" spans="20:39" ht="15.75" thickBot="1">
      <c r="T143" s="5">
        <v>1</v>
      </c>
      <c r="U143" s="5">
        <v>2</v>
      </c>
      <c r="V143" s="5">
        <v>3</v>
      </c>
      <c r="W143" s="6">
        <v>2</v>
      </c>
      <c r="X143" s="5">
        <v>6</v>
      </c>
      <c r="Y143" s="5">
        <v>34.299999999999997</v>
      </c>
      <c r="Z143" s="5">
        <v>6.7</v>
      </c>
      <c r="AA143" s="16">
        <f t="shared" si="4"/>
        <v>4.6494792757708598</v>
      </c>
      <c r="AB143" s="5">
        <v>6.7</v>
      </c>
      <c r="AF143" s="22" t="s">
        <v>11</v>
      </c>
      <c r="AG143" s="5" t="s">
        <v>8</v>
      </c>
      <c r="AH143" s="5" t="s">
        <v>23</v>
      </c>
      <c r="AI143" s="5" t="s">
        <v>24</v>
      </c>
      <c r="AJ143" s="5">
        <v>6</v>
      </c>
      <c r="AK143" s="5">
        <v>34.299999999999997</v>
      </c>
      <c r="AL143" s="5">
        <v>6.7</v>
      </c>
      <c r="AM143" s="5">
        <f t="shared" si="5"/>
        <v>4.6494792757708598</v>
      </c>
    </row>
    <row r="144" spans="20:39" ht="15.75" thickBot="1">
      <c r="T144" s="5">
        <v>1</v>
      </c>
      <c r="U144" s="5">
        <v>2</v>
      </c>
      <c r="V144" s="5">
        <v>3</v>
      </c>
      <c r="W144" s="6">
        <v>2</v>
      </c>
      <c r="X144" s="5">
        <v>5</v>
      </c>
      <c r="Y144" s="5">
        <v>41.19</v>
      </c>
      <c r="Z144" s="5">
        <v>5</v>
      </c>
      <c r="AA144" s="16">
        <f t="shared" si="4"/>
        <v>5.118295824170179</v>
      </c>
      <c r="AB144" s="5">
        <v>5</v>
      </c>
      <c r="AF144" s="22" t="s">
        <v>11</v>
      </c>
      <c r="AG144" s="5" t="s">
        <v>8</v>
      </c>
      <c r="AH144" s="5" t="s">
        <v>23</v>
      </c>
      <c r="AI144" s="5" t="s">
        <v>24</v>
      </c>
      <c r="AJ144" s="5">
        <v>5</v>
      </c>
      <c r="AK144" s="5">
        <v>41.19</v>
      </c>
      <c r="AL144" s="5">
        <v>5</v>
      </c>
      <c r="AM144" s="5">
        <f t="shared" si="5"/>
        <v>5.118295824170179</v>
      </c>
    </row>
    <row r="145" spans="20:39" ht="15.75" thickBot="1">
      <c r="T145" s="5">
        <v>2</v>
      </c>
      <c r="U145" s="5">
        <v>2</v>
      </c>
      <c r="V145" s="5">
        <v>3</v>
      </c>
      <c r="W145" s="6">
        <v>2</v>
      </c>
      <c r="X145" s="5">
        <v>6</v>
      </c>
      <c r="Y145" s="5">
        <v>27.05</v>
      </c>
      <c r="Z145" s="5">
        <v>5</v>
      </c>
      <c r="AA145" s="16">
        <f t="shared" si="4"/>
        <v>3.9966447025087084</v>
      </c>
      <c r="AB145" s="5">
        <v>5</v>
      </c>
      <c r="AF145" s="22" t="s">
        <v>7</v>
      </c>
      <c r="AG145" s="5" t="s">
        <v>8</v>
      </c>
      <c r="AH145" s="5" t="s">
        <v>23</v>
      </c>
      <c r="AI145" s="5" t="s">
        <v>24</v>
      </c>
      <c r="AJ145" s="5">
        <v>6</v>
      </c>
      <c r="AK145" s="5">
        <v>27.05</v>
      </c>
      <c r="AL145" s="5">
        <v>5</v>
      </c>
      <c r="AM145" s="5">
        <f t="shared" si="5"/>
        <v>3.9966447025087084</v>
      </c>
    </row>
    <row r="146" spans="20:39" ht="15.75" thickBot="1">
      <c r="T146" s="5">
        <v>2</v>
      </c>
      <c r="U146" s="5">
        <v>2</v>
      </c>
      <c r="V146" s="5">
        <v>3</v>
      </c>
      <c r="W146" s="6">
        <v>2</v>
      </c>
      <c r="X146" s="5">
        <v>2</v>
      </c>
      <c r="Y146" s="5">
        <v>16.43</v>
      </c>
      <c r="Z146" s="5">
        <v>2.2999999999999998</v>
      </c>
      <c r="AA146" s="16">
        <f t="shared" si="4"/>
        <v>2.2800910245209214</v>
      </c>
      <c r="AB146" s="5">
        <v>2.2999999999999998</v>
      </c>
      <c r="AF146" s="22" t="s">
        <v>7</v>
      </c>
      <c r="AG146" s="5" t="s">
        <v>8</v>
      </c>
      <c r="AH146" s="5" t="s">
        <v>23</v>
      </c>
      <c r="AI146" s="5" t="s">
        <v>24</v>
      </c>
      <c r="AJ146" s="5">
        <v>2</v>
      </c>
      <c r="AK146" s="5">
        <v>16.43</v>
      </c>
      <c r="AL146" s="5">
        <v>2.2999999999999998</v>
      </c>
      <c r="AM146" s="5">
        <f t="shared" si="5"/>
        <v>2.2800910245209214</v>
      </c>
    </row>
    <row r="147" spans="20:39" ht="15.75" thickBot="1">
      <c r="T147" s="5">
        <v>2</v>
      </c>
      <c r="U147" s="5">
        <v>2</v>
      </c>
      <c r="V147" s="5">
        <v>3</v>
      </c>
      <c r="W147" s="6">
        <v>2</v>
      </c>
      <c r="X147" s="5">
        <v>2</v>
      </c>
      <c r="Y147" s="5">
        <v>8.35</v>
      </c>
      <c r="Z147" s="5">
        <v>1.5</v>
      </c>
      <c r="AA147" s="16">
        <f t="shared" si="4"/>
        <v>1.5199573272341924</v>
      </c>
      <c r="AB147" s="5">
        <v>1.5</v>
      </c>
      <c r="AF147" s="22" t="s">
        <v>7</v>
      </c>
      <c r="AG147" s="5" t="s">
        <v>8</v>
      </c>
      <c r="AH147" s="5" t="s">
        <v>23</v>
      </c>
      <c r="AI147" s="5" t="s">
        <v>24</v>
      </c>
      <c r="AJ147" s="5">
        <v>2</v>
      </c>
      <c r="AK147" s="5">
        <v>8.35</v>
      </c>
      <c r="AL147" s="5">
        <v>1.5</v>
      </c>
      <c r="AM147" s="5">
        <f t="shared" si="5"/>
        <v>1.5199573272341924</v>
      </c>
    </row>
    <row r="148" spans="20:39" ht="15.75" thickBot="1">
      <c r="T148" s="5">
        <v>2</v>
      </c>
      <c r="U148" s="5">
        <v>2</v>
      </c>
      <c r="V148" s="5">
        <v>3</v>
      </c>
      <c r="W148" s="6">
        <v>2</v>
      </c>
      <c r="X148" s="5">
        <v>3</v>
      </c>
      <c r="Y148" s="5">
        <v>18.64</v>
      </c>
      <c r="Z148" s="5">
        <v>1.36</v>
      </c>
      <c r="AA148" s="16">
        <f t="shared" si="4"/>
        <v>2.6673656450955172</v>
      </c>
      <c r="AB148" s="5">
        <v>1.36</v>
      </c>
      <c r="AF148" s="22" t="s">
        <v>7</v>
      </c>
      <c r="AG148" s="5" t="s">
        <v>8</v>
      </c>
      <c r="AH148" s="5" t="s">
        <v>23</v>
      </c>
      <c r="AI148" s="5" t="s">
        <v>24</v>
      </c>
      <c r="AJ148" s="5">
        <v>3</v>
      </c>
      <c r="AK148" s="5">
        <v>18.64</v>
      </c>
      <c r="AL148" s="5">
        <v>1.36</v>
      </c>
      <c r="AM148" s="5">
        <f t="shared" si="5"/>
        <v>2.6673656450955172</v>
      </c>
    </row>
    <row r="149" spans="20:39" ht="15.75" thickBot="1">
      <c r="T149" s="5">
        <v>2</v>
      </c>
      <c r="U149" s="5">
        <v>2</v>
      </c>
      <c r="V149" s="5">
        <v>3</v>
      </c>
      <c r="W149" s="6">
        <v>2</v>
      </c>
      <c r="X149" s="5">
        <v>2</v>
      </c>
      <c r="Y149" s="5">
        <v>11.87</v>
      </c>
      <c r="Z149" s="5">
        <v>1.63</v>
      </c>
      <c r="AA149" s="16">
        <f t="shared" si="4"/>
        <v>1.8511046805076188</v>
      </c>
      <c r="AB149" s="5">
        <v>1.63</v>
      </c>
      <c r="AF149" s="22" t="s">
        <v>7</v>
      </c>
      <c r="AG149" s="5" t="s">
        <v>8</v>
      </c>
      <c r="AH149" s="5" t="s">
        <v>23</v>
      </c>
      <c r="AI149" s="5" t="s">
        <v>24</v>
      </c>
      <c r="AJ149" s="5">
        <v>2</v>
      </c>
      <c r="AK149" s="5">
        <v>11.87</v>
      </c>
      <c r="AL149" s="5">
        <v>1.63</v>
      </c>
      <c r="AM149" s="5">
        <f t="shared" si="5"/>
        <v>1.8511046805076188</v>
      </c>
    </row>
    <row r="150" spans="20:39" ht="15.75" thickBot="1">
      <c r="T150" s="5">
        <v>1</v>
      </c>
      <c r="U150" s="5">
        <v>2</v>
      </c>
      <c r="V150" s="5">
        <v>3</v>
      </c>
      <c r="W150" s="6">
        <v>2</v>
      </c>
      <c r="X150" s="5">
        <v>2</v>
      </c>
      <c r="Y150" s="5">
        <v>9.7799999999999994</v>
      </c>
      <c r="Z150" s="5">
        <v>1.73</v>
      </c>
      <c r="AA150" s="16">
        <f t="shared" si="4"/>
        <v>1.6252698561635768</v>
      </c>
      <c r="AB150" s="5">
        <v>1.73</v>
      </c>
      <c r="AF150" s="22" t="s">
        <v>11</v>
      </c>
      <c r="AG150" s="5" t="s">
        <v>8</v>
      </c>
      <c r="AH150" s="5" t="s">
        <v>23</v>
      </c>
      <c r="AI150" s="5" t="s">
        <v>24</v>
      </c>
      <c r="AJ150" s="5">
        <v>2</v>
      </c>
      <c r="AK150" s="5">
        <v>9.7799999999999994</v>
      </c>
      <c r="AL150" s="5">
        <v>1.73</v>
      </c>
      <c r="AM150" s="5">
        <f t="shared" si="5"/>
        <v>1.6252698561635768</v>
      </c>
    </row>
    <row r="151" spans="20:39" ht="15.75" thickBot="1">
      <c r="T151" s="5">
        <v>1</v>
      </c>
      <c r="U151" s="5">
        <v>2</v>
      </c>
      <c r="V151" s="5">
        <v>3</v>
      </c>
      <c r="W151" s="6">
        <v>2</v>
      </c>
      <c r="X151" s="5">
        <v>2</v>
      </c>
      <c r="Y151" s="5">
        <v>7.51</v>
      </c>
      <c r="Z151" s="5">
        <v>2</v>
      </c>
      <c r="AA151" s="16">
        <f t="shared" si="4"/>
        <v>1.4117174436832705</v>
      </c>
      <c r="AB151" s="5">
        <v>2</v>
      </c>
      <c r="AF151" s="22" t="s">
        <v>11</v>
      </c>
      <c r="AG151" s="5" t="s">
        <v>8</v>
      </c>
      <c r="AH151" s="5" t="s">
        <v>23</v>
      </c>
      <c r="AI151" s="5" t="s">
        <v>24</v>
      </c>
      <c r="AJ151" s="5">
        <v>2</v>
      </c>
      <c r="AK151" s="5">
        <v>7.51</v>
      </c>
      <c r="AL151" s="5">
        <v>2</v>
      </c>
      <c r="AM151" s="5">
        <f t="shared" si="5"/>
        <v>1.4117174436832705</v>
      </c>
    </row>
    <row r="152" spans="20:39" ht="15.75" thickBot="1">
      <c r="T152" s="5">
        <v>1</v>
      </c>
      <c r="U152" s="5">
        <v>2</v>
      </c>
      <c r="V152" s="5">
        <v>1</v>
      </c>
      <c r="W152" s="6">
        <v>1</v>
      </c>
      <c r="X152" s="5">
        <v>2</v>
      </c>
      <c r="Y152" s="5">
        <v>14.07</v>
      </c>
      <c r="Z152" s="5">
        <v>2.5</v>
      </c>
      <c r="AA152" s="16">
        <f t="shared" si="4"/>
        <v>2.0502438750658296</v>
      </c>
      <c r="AB152" s="5">
        <v>2.5</v>
      </c>
      <c r="AF152" s="22" t="s">
        <v>11</v>
      </c>
      <c r="AG152" s="5" t="s">
        <v>8</v>
      </c>
      <c r="AH152" s="5" t="s">
        <v>9</v>
      </c>
      <c r="AI152" s="5" t="s">
        <v>10</v>
      </c>
      <c r="AJ152" s="5">
        <v>2</v>
      </c>
      <c r="AK152" s="5">
        <v>14.07</v>
      </c>
      <c r="AL152" s="5">
        <v>2.5</v>
      </c>
      <c r="AM152" s="5">
        <f t="shared" si="5"/>
        <v>2.0502438750658296</v>
      </c>
    </row>
    <row r="153" spans="20:39" ht="15.75" thickBot="1">
      <c r="T153" s="5">
        <v>1</v>
      </c>
      <c r="U153" s="5">
        <v>2</v>
      </c>
      <c r="V153" s="5">
        <v>1</v>
      </c>
      <c r="W153" s="6">
        <v>1</v>
      </c>
      <c r="X153" s="5">
        <v>2</v>
      </c>
      <c r="Y153" s="5">
        <v>13.13</v>
      </c>
      <c r="Z153" s="5">
        <v>2</v>
      </c>
      <c r="AA153" s="16">
        <f t="shared" si="4"/>
        <v>1.9618124795894032</v>
      </c>
      <c r="AB153" s="5">
        <v>2</v>
      </c>
      <c r="AF153" s="22" t="s">
        <v>11</v>
      </c>
      <c r="AG153" s="5" t="s">
        <v>8</v>
      </c>
      <c r="AH153" s="5" t="s">
        <v>9</v>
      </c>
      <c r="AI153" s="5" t="s">
        <v>10</v>
      </c>
      <c r="AJ153" s="5">
        <v>2</v>
      </c>
      <c r="AK153" s="5">
        <v>13.13</v>
      </c>
      <c r="AL153" s="5">
        <v>2</v>
      </c>
      <c r="AM153" s="5">
        <f t="shared" si="5"/>
        <v>1.9618124795894032</v>
      </c>
    </row>
    <row r="154" spans="20:39" ht="15.75" thickBot="1">
      <c r="T154" s="5">
        <v>1</v>
      </c>
      <c r="U154" s="5">
        <v>2</v>
      </c>
      <c r="V154" s="5">
        <v>1</v>
      </c>
      <c r="W154" s="6">
        <v>1</v>
      </c>
      <c r="X154" s="5">
        <v>3</v>
      </c>
      <c r="Y154" s="5">
        <v>17.260000000000002</v>
      </c>
      <c r="Z154" s="5">
        <v>2.74</v>
      </c>
      <c r="AA154" s="16">
        <f t="shared" si="4"/>
        <v>2.5297129292222316</v>
      </c>
      <c r="AB154" s="5">
        <v>2.74</v>
      </c>
      <c r="AF154" s="22" t="s">
        <v>11</v>
      </c>
      <c r="AG154" s="5" t="s">
        <v>8</v>
      </c>
      <c r="AH154" s="5" t="s">
        <v>9</v>
      </c>
      <c r="AI154" s="5" t="s">
        <v>10</v>
      </c>
      <c r="AJ154" s="5">
        <v>3</v>
      </c>
      <c r="AK154" s="5">
        <v>17.260000000000002</v>
      </c>
      <c r="AL154" s="5">
        <v>2.74</v>
      </c>
      <c r="AM154" s="5">
        <f t="shared" si="5"/>
        <v>2.5297129292222316</v>
      </c>
    </row>
    <row r="155" spans="20:39" ht="15.75" thickBot="1">
      <c r="T155" s="5">
        <v>1</v>
      </c>
      <c r="U155" s="5">
        <v>2</v>
      </c>
      <c r="V155" s="5">
        <v>1</v>
      </c>
      <c r="W155" s="6">
        <v>1</v>
      </c>
      <c r="X155" s="5">
        <v>4</v>
      </c>
      <c r="Y155" s="5">
        <v>24.55</v>
      </c>
      <c r="Z155" s="5">
        <v>2</v>
      </c>
      <c r="AA155" s="16">
        <f t="shared" si="4"/>
        <v>3.3948933891800683</v>
      </c>
      <c r="AB155" s="5">
        <v>2</v>
      </c>
      <c r="AF155" s="22" t="s">
        <v>11</v>
      </c>
      <c r="AG155" s="5" t="s">
        <v>8</v>
      </c>
      <c r="AH155" s="5" t="s">
        <v>9</v>
      </c>
      <c r="AI155" s="5" t="s">
        <v>10</v>
      </c>
      <c r="AJ155" s="5">
        <v>4</v>
      </c>
      <c r="AK155" s="5">
        <v>24.55</v>
      </c>
      <c r="AL155" s="5">
        <v>2</v>
      </c>
      <c r="AM155" s="5">
        <f t="shared" si="5"/>
        <v>3.3948933891800683</v>
      </c>
    </row>
    <row r="156" spans="20:39" ht="15.75" thickBot="1">
      <c r="T156" s="5">
        <v>1</v>
      </c>
      <c r="U156" s="5">
        <v>2</v>
      </c>
      <c r="V156" s="5">
        <v>1</v>
      </c>
      <c r="W156" s="6">
        <v>1</v>
      </c>
      <c r="X156" s="5">
        <v>4</v>
      </c>
      <c r="Y156" s="5">
        <v>19.77</v>
      </c>
      <c r="Z156" s="5">
        <v>2</v>
      </c>
      <c r="AA156" s="16">
        <f t="shared" si="4"/>
        <v>2.9452103355871762</v>
      </c>
      <c r="AB156" s="5">
        <v>2</v>
      </c>
      <c r="AF156" s="22" t="s">
        <v>11</v>
      </c>
      <c r="AG156" s="5" t="s">
        <v>8</v>
      </c>
      <c r="AH156" s="5" t="s">
        <v>9</v>
      </c>
      <c r="AI156" s="5" t="s">
        <v>10</v>
      </c>
      <c r="AJ156" s="5">
        <v>4</v>
      </c>
      <c r="AK156" s="5">
        <v>19.77</v>
      </c>
      <c r="AL156" s="5">
        <v>2</v>
      </c>
      <c r="AM156" s="5">
        <f t="shared" si="5"/>
        <v>2.9452103355871762</v>
      </c>
    </row>
    <row r="157" spans="20:39" ht="15.75" thickBot="1">
      <c r="T157" s="5">
        <v>2</v>
      </c>
      <c r="U157" s="5">
        <v>2</v>
      </c>
      <c r="V157" s="5">
        <v>1</v>
      </c>
      <c r="W157" s="6">
        <v>1</v>
      </c>
      <c r="X157" s="5">
        <v>5</v>
      </c>
      <c r="Y157" s="5">
        <v>29.85</v>
      </c>
      <c r="Z157" s="5">
        <v>5.14</v>
      </c>
      <c r="AA157" s="16">
        <f t="shared" si="4"/>
        <v>4.1020787867332027</v>
      </c>
      <c r="AB157" s="5">
        <v>5.14</v>
      </c>
      <c r="AF157" s="22" t="s">
        <v>7</v>
      </c>
      <c r="AG157" s="5" t="s">
        <v>8</v>
      </c>
      <c r="AH157" s="5" t="s">
        <v>9</v>
      </c>
      <c r="AI157" s="5" t="s">
        <v>10</v>
      </c>
      <c r="AJ157" s="5">
        <v>5</v>
      </c>
      <c r="AK157" s="5">
        <v>29.85</v>
      </c>
      <c r="AL157" s="5">
        <v>5.14</v>
      </c>
      <c r="AM157" s="5">
        <f t="shared" si="5"/>
        <v>4.1020787867332027</v>
      </c>
    </row>
    <row r="158" spans="20:39" ht="15.75" thickBot="1">
      <c r="T158" s="5">
        <v>1</v>
      </c>
      <c r="U158" s="5">
        <v>2</v>
      </c>
      <c r="V158" s="5">
        <v>1</v>
      </c>
      <c r="W158" s="6">
        <v>1</v>
      </c>
      <c r="X158" s="5">
        <v>6</v>
      </c>
      <c r="Y158" s="5">
        <v>48.17</v>
      </c>
      <c r="Z158" s="5">
        <v>5</v>
      </c>
      <c r="AA158" s="16">
        <f t="shared" si="4"/>
        <v>5.9757009209115859</v>
      </c>
      <c r="AB158" s="5">
        <v>5</v>
      </c>
      <c r="AF158" s="22" t="s">
        <v>11</v>
      </c>
      <c r="AG158" s="5" t="s">
        <v>8</v>
      </c>
      <c r="AH158" s="5" t="s">
        <v>9</v>
      </c>
      <c r="AI158" s="5" t="s">
        <v>10</v>
      </c>
      <c r="AJ158" s="5">
        <v>6</v>
      </c>
      <c r="AK158" s="5">
        <v>48.17</v>
      </c>
      <c r="AL158" s="5">
        <v>5</v>
      </c>
      <c r="AM158" s="5">
        <f t="shared" si="5"/>
        <v>5.9757009209115859</v>
      </c>
    </row>
    <row r="159" spans="20:39" ht="15.75" thickBot="1">
      <c r="T159" s="5">
        <v>2</v>
      </c>
      <c r="U159" s="5">
        <v>2</v>
      </c>
      <c r="V159" s="5">
        <v>1</v>
      </c>
      <c r="W159" s="6">
        <v>1</v>
      </c>
      <c r="X159" s="5">
        <v>4</v>
      </c>
      <c r="Y159" s="5">
        <v>25</v>
      </c>
      <c r="Z159" s="5">
        <v>3.75</v>
      </c>
      <c r="AA159" s="16">
        <f t="shared" si="4"/>
        <v>3.4664436512035364</v>
      </c>
      <c r="AB159" s="5">
        <v>3.75</v>
      </c>
      <c r="AF159" s="22" t="s">
        <v>7</v>
      </c>
      <c r="AG159" s="5" t="s">
        <v>8</v>
      </c>
      <c r="AH159" s="5" t="s">
        <v>9</v>
      </c>
      <c r="AI159" s="5" t="s">
        <v>10</v>
      </c>
      <c r="AJ159" s="5">
        <v>4</v>
      </c>
      <c r="AK159" s="5">
        <v>25</v>
      </c>
      <c r="AL159" s="5">
        <v>3.75</v>
      </c>
      <c r="AM159" s="5">
        <f t="shared" si="5"/>
        <v>3.4664436512035364</v>
      </c>
    </row>
    <row r="160" spans="20:39" ht="15.75" thickBot="1">
      <c r="T160" s="5">
        <v>2</v>
      </c>
      <c r="U160" s="5">
        <v>2</v>
      </c>
      <c r="V160" s="5">
        <v>1</v>
      </c>
      <c r="W160" s="6">
        <v>1</v>
      </c>
      <c r="X160" s="5">
        <v>2</v>
      </c>
      <c r="Y160" s="5">
        <v>13.39</v>
      </c>
      <c r="Z160" s="5">
        <v>2.61</v>
      </c>
      <c r="AA160" s="16">
        <f t="shared" si="4"/>
        <v>2.0154883106123171</v>
      </c>
      <c r="AB160" s="5">
        <v>2.61</v>
      </c>
      <c r="AF160" s="22" t="s">
        <v>7</v>
      </c>
      <c r="AG160" s="5" t="s">
        <v>8</v>
      </c>
      <c r="AH160" s="5" t="s">
        <v>9</v>
      </c>
      <c r="AI160" s="5" t="s">
        <v>10</v>
      </c>
      <c r="AJ160" s="5">
        <v>2</v>
      </c>
      <c r="AK160" s="5">
        <v>13.39</v>
      </c>
      <c r="AL160" s="5">
        <v>2.61</v>
      </c>
      <c r="AM160" s="5">
        <f t="shared" si="5"/>
        <v>2.0154883106123171</v>
      </c>
    </row>
    <row r="161" spans="20:39" ht="15.75" thickBot="1">
      <c r="T161" s="5">
        <v>1</v>
      </c>
      <c r="U161" s="5">
        <v>2</v>
      </c>
      <c r="V161" s="5">
        <v>1</v>
      </c>
      <c r="W161" s="6">
        <v>1</v>
      </c>
      <c r="X161" s="5">
        <v>4</v>
      </c>
      <c r="Y161" s="5">
        <v>16.489999999999998</v>
      </c>
      <c r="Z161" s="5">
        <v>2</v>
      </c>
      <c r="AA161" s="16">
        <f t="shared" si="4"/>
        <v>2.6366412109460287</v>
      </c>
      <c r="AB161" s="5">
        <v>2</v>
      </c>
      <c r="AF161" s="22" t="s">
        <v>11</v>
      </c>
      <c r="AG161" s="5" t="s">
        <v>8</v>
      </c>
      <c r="AH161" s="5" t="s">
        <v>9</v>
      </c>
      <c r="AI161" s="5" t="s">
        <v>10</v>
      </c>
      <c r="AJ161" s="5">
        <v>4</v>
      </c>
      <c r="AK161" s="5">
        <v>16.489999999999998</v>
      </c>
      <c r="AL161" s="5">
        <v>2</v>
      </c>
      <c r="AM161" s="5">
        <f t="shared" si="5"/>
        <v>2.6366412109460287</v>
      </c>
    </row>
    <row r="162" spans="20:39" ht="15.75" thickBot="1">
      <c r="T162" s="5">
        <v>1</v>
      </c>
      <c r="U162" s="5">
        <v>2</v>
      </c>
      <c r="V162" s="5">
        <v>1</v>
      </c>
      <c r="W162" s="6">
        <v>1</v>
      </c>
      <c r="X162" s="5">
        <v>4</v>
      </c>
      <c r="Y162" s="5">
        <v>21.5</v>
      </c>
      <c r="Z162" s="5">
        <v>3.5</v>
      </c>
      <c r="AA162" s="16">
        <f t="shared" si="4"/>
        <v>3.1079617336448546</v>
      </c>
      <c r="AB162" s="5">
        <v>3.5</v>
      </c>
      <c r="AF162" s="22" t="s">
        <v>11</v>
      </c>
      <c r="AG162" s="5" t="s">
        <v>8</v>
      </c>
      <c r="AH162" s="5" t="s">
        <v>9</v>
      </c>
      <c r="AI162" s="5" t="s">
        <v>10</v>
      </c>
      <c r="AJ162" s="5">
        <v>4</v>
      </c>
      <c r="AK162" s="5">
        <v>21.5</v>
      </c>
      <c r="AL162" s="5">
        <v>3.5</v>
      </c>
      <c r="AM162" s="5">
        <f t="shared" si="5"/>
        <v>3.1079617336448546</v>
      </c>
    </row>
    <row r="163" spans="20:39" ht="15.75" thickBot="1">
      <c r="T163" s="5">
        <v>1</v>
      </c>
      <c r="U163" s="5">
        <v>2</v>
      </c>
      <c r="V163" s="5">
        <v>1</v>
      </c>
      <c r="W163" s="6">
        <v>1</v>
      </c>
      <c r="X163" s="5">
        <v>2</v>
      </c>
      <c r="Y163" s="5">
        <v>12.66</v>
      </c>
      <c r="Z163" s="5">
        <v>2.5</v>
      </c>
      <c r="AA163" s="16">
        <f t="shared" si="4"/>
        <v>1.9175967818511899</v>
      </c>
      <c r="AB163" s="5">
        <v>2.5</v>
      </c>
      <c r="AF163" s="22" t="s">
        <v>11</v>
      </c>
      <c r="AG163" s="5" t="s">
        <v>8</v>
      </c>
      <c r="AH163" s="5" t="s">
        <v>9</v>
      </c>
      <c r="AI163" s="5" t="s">
        <v>10</v>
      </c>
      <c r="AJ163" s="5">
        <v>2</v>
      </c>
      <c r="AK163" s="5">
        <v>12.66</v>
      </c>
      <c r="AL163" s="5">
        <v>2.5</v>
      </c>
      <c r="AM163" s="5">
        <f t="shared" si="5"/>
        <v>1.9175967818511899</v>
      </c>
    </row>
    <row r="164" spans="20:39" ht="15.75" thickBot="1">
      <c r="T164" s="5">
        <v>2</v>
      </c>
      <c r="U164" s="5">
        <v>2</v>
      </c>
      <c r="V164" s="5">
        <v>1</v>
      </c>
      <c r="W164" s="6">
        <v>1</v>
      </c>
      <c r="X164" s="5">
        <v>3</v>
      </c>
      <c r="Y164" s="5">
        <v>16.21</v>
      </c>
      <c r="Z164" s="5">
        <v>2</v>
      </c>
      <c r="AA164" s="16">
        <f t="shared" si="4"/>
        <v>2.4601492622939558</v>
      </c>
      <c r="AB164" s="5">
        <v>2</v>
      </c>
      <c r="AF164" s="22" t="s">
        <v>7</v>
      </c>
      <c r="AG164" s="5" t="s">
        <v>8</v>
      </c>
      <c r="AH164" s="5" t="s">
        <v>9</v>
      </c>
      <c r="AI164" s="5" t="s">
        <v>10</v>
      </c>
      <c r="AJ164" s="5">
        <v>3</v>
      </c>
      <c r="AK164" s="5">
        <v>16.21</v>
      </c>
      <c r="AL164" s="5">
        <v>2</v>
      </c>
      <c r="AM164" s="5">
        <f t="shared" si="5"/>
        <v>2.4601492622939558</v>
      </c>
    </row>
    <row r="165" spans="20:39" ht="15.75" thickBot="1">
      <c r="T165" s="5">
        <v>1</v>
      </c>
      <c r="U165" s="5">
        <v>2</v>
      </c>
      <c r="V165" s="5">
        <v>1</v>
      </c>
      <c r="W165" s="6">
        <v>1</v>
      </c>
      <c r="X165" s="5">
        <v>2</v>
      </c>
      <c r="Y165" s="5">
        <v>13.81</v>
      </c>
      <c r="Z165" s="5">
        <v>2</v>
      </c>
      <c r="AA165" s="16">
        <f t="shared" si="4"/>
        <v>2.0257841273808603</v>
      </c>
      <c r="AB165" s="5">
        <v>2</v>
      </c>
      <c r="AF165" s="22" t="s">
        <v>11</v>
      </c>
      <c r="AG165" s="5" t="s">
        <v>8</v>
      </c>
      <c r="AH165" s="5" t="s">
        <v>9</v>
      </c>
      <c r="AI165" s="5" t="s">
        <v>10</v>
      </c>
      <c r="AJ165" s="5">
        <v>2</v>
      </c>
      <c r="AK165" s="5">
        <v>13.81</v>
      </c>
      <c r="AL165" s="5">
        <v>2</v>
      </c>
      <c r="AM165" s="5">
        <f t="shared" si="5"/>
        <v>2.0257841273808603</v>
      </c>
    </row>
    <row r="166" spans="20:39" ht="15.75" thickBot="1">
      <c r="T166" s="5">
        <v>2</v>
      </c>
      <c r="U166" s="5">
        <v>1</v>
      </c>
      <c r="V166" s="5">
        <v>1</v>
      </c>
      <c r="W166" s="6">
        <v>1</v>
      </c>
      <c r="X166" s="5">
        <v>2</v>
      </c>
      <c r="Y166" s="5">
        <v>17.510000000000002</v>
      </c>
      <c r="Z166" s="5">
        <v>3</v>
      </c>
      <c r="AA166" s="16">
        <f t="shared" si="4"/>
        <v>2.4841217430652622</v>
      </c>
      <c r="AB166" s="5">
        <v>3</v>
      </c>
      <c r="AF166" s="22" t="s">
        <v>7</v>
      </c>
      <c r="AG166" s="5" t="s">
        <v>22</v>
      </c>
      <c r="AH166" s="5" t="s">
        <v>9</v>
      </c>
      <c r="AI166" s="5" t="s">
        <v>10</v>
      </c>
      <c r="AJ166" s="5">
        <v>2</v>
      </c>
      <c r="AK166" s="5">
        <v>17.510000000000002</v>
      </c>
      <c r="AL166" s="5">
        <v>3</v>
      </c>
      <c r="AM166" s="5">
        <f t="shared" si="5"/>
        <v>2.4841217430652622</v>
      </c>
    </row>
    <row r="167" spans="20:39" ht="15.75" thickBot="1">
      <c r="T167" s="5">
        <v>1</v>
      </c>
      <c r="U167" s="5">
        <v>2</v>
      </c>
      <c r="V167" s="5">
        <v>1</v>
      </c>
      <c r="W167" s="6">
        <v>1</v>
      </c>
      <c r="X167" s="5">
        <v>3</v>
      </c>
      <c r="Y167" s="5">
        <v>24.52</v>
      </c>
      <c r="Z167" s="5">
        <v>3.48</v>
      </c>
      <c r="AA167" s="16">
        <f t="shared" si="4"/>
        <v>3.2127043453486737</v>
      </c>
      <c r="AB167" s="5">
        <v>3.48</v>
      </c>
      <c r="AF167" s="22" t="s">
        <v>11</v>
      </c>
      <c r="AG167" s="5" t="s">
        <v>8</v>
      </c>
      <c r="AH167" s="5" t="s">
        <v>9</v>
      </c>
      <c r="AI167" s="5" t="s">
        <v>10</v>
      </c>
      <c r="AJ167" s="5">
        <v>3</v>
      </c>
      <c r="AK167" s="5">
        <v>24.52</v>
      </c>
      <c r="AL167" s="5">
        <v>3.48</v>
      </c>
      <c r="AM167" s="5">
        <f t="shared" si="5"/>
        <v>3.2127043453486737</v>
      </c>
    </row>
    <row r="168" spans="20:39" ht="15.75" thickBot="1">
      <c r="T168" s="5">
        <v>1</v>
      </c>
      <c r="U168" s="5">
        <v>2</v>
      </c>
      <c r="V168" s="5">
        <v>1</v>
      </c>
      <c r="W168" s="6">
        <v>1</v>
      </c>
      <c r="X168" s="5">
        <v>2</v>
      </c>
      <c r="Y168" s="5">
        <v>20.76</v>
      </c>
      <c r="Z168" s="5">
        <v>2.2400000000000002</v>
      </c>
      <c r="AA168" s="16">
        <f t="shared" si="4"/>
        <v>2.6796119981906088</v>
      </c>
      <c r="AB168" s="5">
        <v>2.2400000000000002</v>
      </c>
      <c r="AF168" s="22" t="s">
        <v>11</v>
      </c>
      <c r="AG168" s="5" t="s">
        <v>8</v>
      </c>
      <c r="AH168" s="5" t="s">
        <v>9</v>
      </c>
      <c r="AI168" s="5" t="s">
        <v>10</v>
      </c>
      <c r="AJ168" s="5">
        <v>2</v>
      </c>
      <c r="AK168" s="5">
        <v>20.76</v>
      </c>
      <c r="AL168" s="5">
        <v>2.2400000000000002</v>
      </c>
      <c r="AM168" s="5">
        <f t="shared" si="5"/>
        <v>2.6796119981906088</v>
      </c>
    </row>
    <row r="169" spans="20:39" ht="15.75" thickBot="1">
      <c r="T169" s="5">
        <v>1</v>
      </c>
      <c r="U169" s="5">
        <v>2</v>
      </c>
      <c r="V169" s="5">
        <v>1</v>
      </c>
      <c r="W169" s="6">
        <v>1</v>
      </c>
      <c r="X169" s="5">
        <v>4</v>
      </c>
      <c r="Y169" s="5">
        <v>31.71</v>
      </c>
      <c r="Z169" s="5">
        <v>4.5</v>
      </c>
      <c r="AA169" s="16">
        <f t="shared" si="4"/>
        <v>4.0684772100430608</v>
      </c>
      <c r="AB169" s="5">
        <v>4.5</v>
      </c>
      <c r="AF169" s="22" t="s">
        <v>11</v>
      </c>
      <c r="AG169" s="5" t="s">
        <v>8</v>
      </c>
      <c r="AH169" s="5" t="s">
        <v>9</v>
      </c>
      <c r="AI169" s="5" t="s">
        <v>10</v>
      </c>
      <c r="AJ169" s="5">
        <v>4</v>
      </c>
      <c r="AK169" s="5">
        <v>31.71</v>
      </c>
      <c r="AL169" s="5">
        <v>4.5</v>
      </c>
      <c r="AM169" s="5">
        <f t="shared" si="5"/>
        <v>4.0684772100430608</v>
      </c>
    </row>
    <row r="170" spans="20:39" ht="15.75" thickBot="1">
      <c r="T170" s="5">
        <v>2</v>
      </c>
      <c r="U170" s="5">
        <v>1</v>
      </c>
      <c r="V170" s="5">
        <v>2</v>
      </c>
      <c r="W170" s="6">
        <v>1</v>
      </c>
      <c r="X170" s="5">
        <v>2</v>
      </c>
      <c r="Y170" s="5">
        <v>10.59</v>
      </c>
      <c r="Z170" s="5">
        <v>1.61</v>
      </c>
      <c r="AA170" s="16">
        <f t="shared" si="4"/>
        <v>1.8252823298390031</v>
      </c>
      <c r="AB170" s="5">
        <v>1.61</v>
      </c>
      <c r="AF170" s="22" t="s">
        <v>7</v>
      </c>
      <c r="AG170" s="5" t="s">
        <v>22</v>
      </c>
      <c r="AH170" s="5" t="s">
        <v>21</v>
      </c>
      <c r="AI170" s="5" t="s">
        <v>10</v>
      </c>
      <c r="AJ170" s="5">
        <v>2</v>
      </c>
      <c r="AK170" s="5">
        <v>10.59</v>
      </c>
      <c r="AL170" s="5">
        <v>1.61</v>
      </c>
      <c r="AM170" s="5">
        <f t="shared" si="5"/>
        <v>1.8252823298390031</v>
      </c>
    </row>
    <row r="171" spans="20:39" ht="15.75" thickBot="1">
      <c r="T171" s="5">
        <v>2</v>
      </c>
      <c r="U171" s="5">
        <v>1</v>
      </c>
      <c r="V171" s="5">
        <v>2</v>
      </c>
      <c r="W171" s="6">
        <v>1</v>
      </c>
      <c r="X171" s="5">
        <v>2</v>
      </c>
      <c r="Y171" s="5">
        <v>10.63</v>
      </c>
      <c r="Z171" s="5">
        <v>2</v>
      </c>
      <c r="AA171" s="16">
        <f t="shared" si="4"/>
        <v>1.829045367944383</v>
      </c>
      <c r="AB171" s="5">
        <v>2</v>
      </c>
      <c r="AF171" s="22" t="s">
        <v>7</v>
      </c>
      <c r="AG171" s="5" t="s">
        <v>22</v>
      </c>
      <c r="AH171" s="5" t="s">
        <v>21</v>
      </c>
      <c r="AI171" s="5" t="s">
        <v>10</v>
      </c>
      <c r="AJ171" s="5">
        <v>2</v>
      </c>
      <c r="AK171" s="5">
        <v>10.63</v>
      </c>
      <c r="AL171" s="5">
        <v>2</v>
      </c>
      <c r="AM171" s="5">
        <f t="shared" si="5"/>
        <v>1.829045367944383</v>
      </c>
    </row>
    <row r="172" spans="20:39" ht="15.75" thickBot="1">
      <c r="T172" s="5">
        <v>1</v>
      </c>
      <c r="U172" s="5">
        <v>1</v>
      </c>
      <c r="V172" s="5">
        <v>2</v>
      </c>
      <c r="W172" s="6">
        <v>1</v>
      </c>
      <c r="X172" s="5">
        <v>3</v>
      </c>
      <c r="Y172" s="5">
        <v>50.81</v>
      </c>
      <c r="Z172" s="5">
        <v>10</v>
      </c>
      <c r="AA172" s="16">
        <f t="shared" si="4"/>
        <v>5.7591678267128534</v>
      </c>
      <c r="AB172" s="5">
        <v>10</v>
      </c>
      <c r="AF172" s="22" t="s">
        <v>11</v>
      </c>
      <c r="AG172" s="5" t="s">
        <v>22</v>
      </c>
      <c r="AH172" s="5" t="s">
        <v>21</v>
      </c>
      <c r="AI172" s="5" t="s">
        <v>10</v>
      </c>
      <c r="AJ172" s="5">
        <v>3</v>
      </c>
      <c r="AK172" s="5">
        <v>50.81</v>
      </c>
      <c r="AL172" s="5">
        <v>10</v>
      </c>
      <c r="AM172" s="5">
        <f t="shared" si="5"/>
        <v>5.7591678267128534</v>
      </c>
    </row>
    <row r="173" spans="20:39" ht="15.75" thickBot="1">
      <c r="T173" s="5">
        <v>1</v>
      </c>
      <c r="U173" s="5">
        <v>1</v>
      </c>
      <c r="V173" s="5">
        <v>2</v>
      </c>
      <c r="W173" s="6">
        <v>1</v>
      </c>
      <c r="X173" s="5">
        <v>2</v>
      </c>
      <c r="Y173" s="5">
        <v>15.81</v>
      </c>
      <c r="Z173" s="5">
        <v>3.16</v>
      </c>
      <c r="AA173" s="16">
        <f t="shared" si="4"/>
        <v>2.287142719253128</v>
      </c>
      <c r="AB173" s="5">
        <v>3.16</v>
      </c>
      <c r="AF173" s="22" t="s">
        <v>11</v>
      </c>
      <c r="AG173" s="5" t="s">
        <v>22</v>
      </c>
      <c r="AH173" s="5" t="s">
        <v>21</v>
      </c>
      <c r="AI173" s="5" t="s">
        <v>10</v>
      </c>
      <c r="AJ173" s="5">
        <v>2</v>
      </c>
      <c r="AK173" s="5">
        <v>15.81</v>
      </c>
      <c r="AL173" s="5">
        <v>3.16</v>
      </c>
      <c r="AM173" s="5">
        <f t="shared" si="5"/>
        <v>2.287142719253128</v>
      </c>
    </row>
    <row r="174" spans="20:39" ht="15.75" thickBot="1">
      <c r="T174" s="5">
        <v>1</v>
      </c>
      <c r="U174" s="5">
        <v>1</v>
      </c>
      <c r="V174" s="5">
        <v>1</v>
      </c>
      <c r="W174" s="6">
        <v>1</v>
      </c>
      <c r="X174" s="5">
        <v>2</v>
      </c>
      <c r="Y174" s="5">
        <v>7.25</v>
      </c>
      <c r="Z174" s="5">
        <v>5.15</v>
      </c>
      <c r="AA174" s="16">
        <f t="shared" si="4"/>
        <v>1.4896863856973863</v>
      </c>
      <c r="AB174" s="5">
        <v>5.15</v>
      </c>
      <c r="AF174" s="22" t="s">
        <v>11</v>
      </c>
      <c r="AG174" s="5" t="s">
        <v>22</v>
      </c>
      <c r="AH174" s="5" t="s">
        <v>9</v>
      </c>
      <c r="AI174" s="5" t="s">
        <v>10</v>
      </c>
      <c r="AJ174" s="5">
        <v>2</v>
      </c>
      <c r="AK174" s="5">
        <v>7.25</v>
      </c>
      <c r="AL174" s="5">
        <v>5.15</v>
      </c>
      <c r="AM174" s="5">
        <f t="shared" si="5"/>
        <v>1.4896863856973863</v>
      </c>
    </row>
    <row r="175" spans="20:39" ht="15.75" thickBot="1">
      <c r="T175" s="5">
        <v>1</v>
      </c>
      <c r="U175" s="5">
        <v>1</v>
      </c>
      <c r="V175" s="5">
        <v>1</v>
      </c>
      <c r="W175" s="6">
        <v>1</v>
      </c>
      <c r="X175" s="5">
        <v>2</v>
      </c>
      <c r="Y175" s="5">
        <v>31.85</v>
      </c>
      <c r="Z175" s="5">
        <v>3.18</v>
      </c>
      <c r="AA175" s="16">
        <f t="shared" si="4"/>
        <v>3.8039548205059921</v>
      </c>
      <c r="AB175" s="5">
        <v>3.18</v>
      </c>
      <c r="AF175" s="22" t="s">
        <v>11</v>
      </c>
      <c r="AG175" s="5" t="s">
        <v>22</v>
      </c>
      <c r="AH175" s="5" t="s">
        <v>9</v>
      </c>
      <c r="AI175" s="5" t="s">
        <v>10</v>
      </c>
      <c r="AJ175" s="5">
        <v>2</v>
      </c>
      <c r="AK175" s="5">
        <v>31.85</v>
      </c>
      <c r="AL175" s="5">
        <v>3.18</v>
      </c>
      <c r="AM175" s="5">
        <f t="shared" si="5"/>
        <v>3.8039548205059921</v>
      </c>
    </row>
    <row r="176" spans="20:39" ht="15.75" thickBot="1">
      <c r="T176" s="5">
        <v>1</v>
      </c>
      <c r="U176" s="5">
        <v>1</v>
      </c>
      <c r="V176" s="5">
        <v>1</v>
      </c>
      <c r="W176" s="6">
        <v>1</v>
      </c>
      <c r="X176" s="5">
        <v>2</v>
      </c>
      <c r="Y176" s="5">
        <v>16.82</v>
      </c>
      <c r="Z176" s="5">
        <v>4</v>
      </c>
      <c r="AA176" s="16">
        <f t="shared" si="4"/>
        <v>2.3899932524095147</v>
      </c>
      <c r="AB176" s="5">
        <v>4</v>
      </c>
      <c r="AF176" s="22" t="s">
        <v>11</v>
      </c>
      <c r="AG176" s="5" t="s">
        <v>22</v>
      </c>
      <c r="AH176" s="5" t="s">
        <v>9</v>
      </c>
      <c r="AI176" s="5" t="s">
        <v>10</v>
      </c>
      <c r="AJ176" s="5">
        <v>2</v>
      </c>
      <c r="AK176" s="5">
        <v>16.82</v>
      </c>
      <c r="AL176" s="5">
        <v>4</v>
      </c>
      <c r="AM176" s="5">
        <f t="shared" si="5"/>
        <v>2.3899932524095147</v>
      </c>
    </row>
    <row r="177" spans="20:39" ht="15.75" thickBot="1">
      <c r="T177" s="5">
        <v>1</v>
      </c>
      <c r="U177" s="5">
        <v>1</v>
      </c>
      <c r="V177" s="5">
        <v>1</v>
      </c>
      <c r="W177" s="6">
        <v>1</v>
      </c>
      <c r="X177" s="5">
        <v>2</v>
      </c>
      <c r="Y177" s="5">
        <v>32.9</v>
      </c>
      <c r="Z177" s="5">
        <v>3.11</v>
      </c>
      <c r="AA177" s="16">
        <f t="shared" si="4"/>
        <v>3.9027345707722128</v>
      </c>
      <c r="AB177" s="5">
        <v>3.11</v>
      </c>
      <c r="AF177" s="22" t="s">
        <v>11</v>
      </c>
      <c r="AG177" s="5" t="s">
        <v>22</v>
      </c>
      <c r="AH177" s="5" t="s">
        <v>9</v>
      </c>
      <c r="AI177" s="5" t="s">
        <v>10</v>
      </c>
      <c r="AJ177" s="5">
        <v>2</v>
      </c>
      <c r="AK177" s="5">
        <v>32.9</v>
      </c>
      <c r="AL177" s="5">
        <v>3.11</v>
      </c>
      <c r="AM177" s="5">
        <f t="shared" si="5"/>
        <v>3.9027345707722128</v>
      </c>
    </row>
    <row r="178" spans="20:39" ht="15.75" thickBot="1">
      <c r="T178" s="5">
        <v>1</v>
      </c>
      <c r="U178" s="5">
        <v>1</v>
      </c>
      <c r="V178" s="5">
        <v>1</v>
      </c>
      <c r="W178" s="6">
        <v>1</v>
      </c>
      <c r="X178" s="5">
        <v>2</v>
      </c>
      <c r="Y178" s="5">
        <v>17.89</v>
      </c>
      <c r="Z178" s="5">
        <v>2</v>
      </c>
      <c r="AA178" s="16">
        <f t="shared" si="4"/>
        <v>2.4906545217284255</v>
      </c>
      <c r="AB178" s="5">
        <v>2</v>
      </c>
      <c r="AF178" s="22" t="s">
        <v>11</v>
      </c>
      <c r="AG178" s="5" t="s">
        <v>22</v>
      </c>
      <c r="AH178" s="5" t="s">
        <v>9</v>
      </c>
      <c r="AI178" s="5" t="s">
        <v>10</v>
      </c>
      <c r="AJ178" s="5">
        <v>2</v>
      </c>
      <c r="AK178" s="5">
        <v>17.89</v>
      </c>
      <c r="AL178" s="5">
        <v>2</v>
      </c>
      <c r="AM178" s="5">
        <f t="shared" si="5"/>
        <v>2.4906545217284255</v>
      </c>
    </row>
    <row r="179" spans="20:39" ht="15.75" thickBot="1">
      <c r="T179" s="5">
        <v>1</v>
      </c>
      <c r="U179" s="5">
        <v>1</v>
      </c>
      <c r="V179" s="5">
        <v>1</v>
      </c>
      <c r="W179" s="6">
        <v>1</v>
      </c>
      <c r="X179" s="5">
        <v>2</v>
      </c>
      <c r="Y179" s="5">
        <v>14.48</v>
      </c>
      <c r="Z179" s="5">
        <v>2</v>
      </c>
      <c r="AA179" s="16">
        <f t="shared" si="4"/>
        <v>2.1698555232447934</v>
      </c>
      <c r="AB179" s="5">
        <v>2</v>
      </c>
      <c r="AF179" s="22" t="s">
        <v>11</v>
      </c>
      <c r="AG179" s="5" t="s">
        <v>22</v>
      </c>
      <c r="AH179" s="5" t="s">
        <v>9</v>
      </c>
      <c r="AI179" s="5" t="s">
        <v>10</v>
      </c>
      <c r="AJ179" s="5">
        <v>2</v>
      </c>
      <c r="AK179" s="5">
        <v>14.48</v>
      </c>
      <c r="AL179" s="5">
        <v>2</v>
      </c>
      <c r="AM179" s="5">
        <f t="shared" si="5"/>
        <v>2.1698555232447934</v>
      </c>
    </row>
    <row r="180" spans="20:39" ht="15.75" thickBot="1">
      <c r="T180" s="5">
        <v>2</v>
      </c>
      <c r="U180" s="5">
        <v>1</v>
      </c>
      <c r="V180" s="5">
        <v>1</v>
      </c>
      <c r="W180" s="6">
        <v>1</v>
      </c>
      <c r="X180" s="5">
        <v>2</v>
      </c>
      <c r="Y180" s="5">
        <v>9.6</v>
      </c>
      <c r="Z180" s="5">
        <v>4</v>
      </c>
      <c r="AA180" s="16">
        <f t="shared" si="4"/>
        <v>1.7399809577263974</v>
      </c>
      <c r="AB180" s="5">
        <v>4</v>
      </c>
      <c r="AF180" s="22" t="s">
        <v>7</v>
      </c>
      <c r="AG180" s="5" t="s">
        <v>22</v>
      </c>
      <c r="AH180" s="5" t="s">
        <v>9</v>
      </c>
      <c r="AI180" s="5" t="s">
        <v>10</v>
      </c>
      <c r="AJ180" s="5">
        <v>2</v>
      </c>
      <c r="AK180" s="5">
        <v>9.6</v>
      </c>
      <c r="AL180" s="5">
        <v>4</v>
      </c>
      <c r="AM180" s="5">
        <f t="shared" si="5"/>
        <v>1.7399809577263974</v>
      </c>
    </row>
    <row r="181" spans="20:39" ht="15.75" thickBot="1">
      <c r="T181" s="5">
        <v>1</v>
      </c>
      <c r="U181" s="5">
        <v>1</v>
      </c>
      <c r="V181" s="5">
        <v>1</v>
      </c>
      <c r="W181" s="6">
        <v>1</v>
      </c>
      <c r="X181" s="5">
        <v>2</v>
      </c>
      <c r="Y181" s="5">
        <v>34.630000000000003</v>
      </c>
      <c r="Z181" s="5">
        <v>3.55</v>
      </c>
      <c r="AA181" s="16">
        <f t="shared" si="4"/>
        <v>4.0654859688298917</v>
      </c>
      <c r="AB181" s="5">
        <v>3.55</v>
      </c>
      <c r="AF181" s="22" t="s">
        <v>11</v>
      </c>
      <c r="AG181" s="5" t="s">
        <v>22</v>
      </c>
      <c r="AH181" s="5" t="s">
        <v>9</v>
      </c>
      <c r="AI181" s="5" t="s">
        <v>10</v>
      </c>
      <c r="AJ181" s="5">
        <v>2</v>
      </c>
      <c r="AK181" s="5">
        <v>34.630000000000003</v>
      </c>
      <c r="AL181" s="5">
        <v>3.55</v>
      </c>
      <c r="AM181" s="5">
        <f t="shared" si="5"/>
        <v>4.0654859688298917</v>
      </c>
    </row>
    <row r="182" spans="20:39" ht="15.75" thickBot="1">
      <c r="T182" s="5">
        <v>1</v>
      </c>
      <c r="U182" s="5">
        <v>1</v>
      </c>
      <c r="V182" s="5">
        <v>1</v>
      </c>
      <c r="W182" s="6">
        <v>1</v>
      </c>
      <c r="X182" s="5">
        <v>4</v>
      </c>
      <c r="Y182" s="5">
        <v>34.65</v>
      </c>
      <c r="Z182" s="5">
        <v>3.68</v>
      </c>
      <c r="AA182" s="16">
        <f t="shared" si="4"/>
        <v>4.4261010183872997</v>
      </c>
      <c r="AB182" s="5">
        <v>3.68</v>
      </c>
      <c r="AF182" s="22" t="s">
        <v>11</v>
      </c>
      <c r="AG182" s="5" t="s">
        <v>22</v>
      </c>
      <c r="AH182" s="5" t="s">
        <v>9</v>
      </c>
      <c r="AI182" s="5" t="s">
        <v>10</v>
      </c>
      <c r="AJ182" s="5">
        <v>4</v>
      </c>
      <c r="AK182" s="5">
        <v>34.65</v>
      </c>
      <c r="AL182" s="5">
        <v>3.68</v>
      </c>
      <c r="AM182" s="5">
        <f t="shared" si="5"/>
        <v>4.4261010183872997</v>
      </c>
    </row>
    <row r="183" spans="20:39" ht="15.75" thickBot="1">
      <c r="T183" s="5">
        <v>1</v>
      </c>
      <c r="U183" s="5">
        <v>1</v>
      </c>
      <c r="V183" s="5">
        <v>1</v>
      </c>
      <c r="W183" s="6">
        <v>1</v>
      </c>
      <c r="X183" s="5">
        <v>2</v>
      </c>
      <c r="Y183" s="5">
        <v>23.33</v>
      </c>
      <c r="Z183" s="5">
        <v>5.65</v>
      </c>
      <c r="AA183" s="16">
        <f t="shared" si="4"/>
        <v>3.0024277040600844</v>
      </c>
      <c r="AB183" s="5">
        <v>5.65</v>
      </c>
      <c r="AF183" s="22" t="s">
        <v>11</v>
      </c>
      <c r="AG183" s="5" t="s">
        <v>22</v>
      </c>
      <c r="AH183" s="5" t="s">
        <v>9</v>
      </c>
      <c r="AI183" s="5" t="s">
        <v>10</v>
      </c>
      <c r="AJ183" s="5">
        <v>2</v>
      </c>
      <c r="AK183" s="5">
        <v>23.33</v>
      </c>
      <c r="AL183" s="5">
        <v>5.65</v>
      </c>
      <c r="AM183" s="5">
        <f t="shared" si="5"/>
        <v>3.0024277040600844</v>
      </c>
    </row>
    <row r="184" spans="20:39" ht="15.75" thickBot="1">
      <c r="T184" s="5">
        <v>1</v>
      </c>
      <c r="U184" s="5">
        <v>1</v>
      </c>
      <c r="V184" s="5">
        <v>1</v>
      </c>
      <c r="W184" s="6">
        <v>1</v>
      </c>
      <c r="X184" s="5">
        <v>3</v>
      </c>
      <c r="Y184" s="5">
        <v>45.35</v>
      </c>
      <c r="Z184" s="5">
        <v>3.5</v>
      </c>
      <c r="AA184" s="16">
        <f t="shared" si="4"/>
        <v>5.253346946324049</v>
      </c>
      <c r="AB184" s="5">
        <v>3.5</v>
      </c>
      <c r="AF184" s="22" t="s">
        <v>11</v>
      </c>
      <c r="AG184" s="5" t="s">
        <v>22</v>
      </c>
      <c r="AH184" s="5" t="s">
        <v>9</v>
      </c>
      <c r="AI184" s="5" t="s">
        <v>10</v>
      </c>
      <c r="AJ184" s="5">
        <v>3</v>
      </c>
      <c r="AK184" s="5">
        <v>45.35</v>
      </c>
      <c r="AL184" s="5">
        <v>3.5</v>
      </c>
      <c r="AM184" s="5">
        <f t="shared" si="5"/>
        <v>5.253346946324049</v>
      </c>
    </row>
    <row r="185" spans="20:39" ht="15.75" thickBot="1">
      <c r="T185" s="5">
        <v>1</v>
      </c>
      <c r="U185" s="5">
        <v>1</v>
      </c>
      <c r="V185" s="5">
        <v>1</v>
      </c>
      <c r="W185" s="6">
        <v>1</v>
      </c>
      <c r="X185" s="5">
        <v>4</v>
      </c>
      <c r="Y185" s="5">
        <v>23.17</v>
      </c>
      <c r="Z185" s="5">
        <v>6.5</v>
      </c>
      <c r="AA185" s="16">
        <f t="shared" si="4"/>
        <v>3.3461090821432844</v>
      </c>
      <c r="AB185" s="5">
        <v>6.5</v>
      </c>
      <c r="AF185" s="22" t="s">
        <v>11</v>
      </c>
      <c r="AG185" s="5" t="s">
        <v>22</v>
      </c>
      <c r="AH185" s="5" t="s">
        <v>9</v>
      </c>
      <c r="AI185" s="5" t="s">
        <v>10</v>
      </c>
      <c r="AJ185" s="5">
        <v>4</v>
      </c>
      <c r="AK185" s="5">
        <v>23.17</v>
      </c>
      <c r="AL185" s="5">
        <v>6.5</v>
      </c>
      <c r="AM185" s="5">
        <f t="shared" si="5"/>
        <v>3.3461090821432844</v>
      </c>
    </row>
    <row r="186" spans="20:39" ht="15.75" thickBot="1">
      <c r="T186" s="5">
        <v>1</v>
      </c>
      <c r="U186" s="5">
        <v>1</v>
      </c>
      <c r="V186" s="5">
        <v>1</v>
      </c>
      <c r="W186" s="6">
        <v>1</v>
      </c>
      <c r="X186" s="5">
        <v>2</v>
      </c>
      <c r="Y186" s="5">
        <v>40.549999999999997</v>
      </c>
      <c r="Z186" s="5">
        <v>3</v>
      </c>
      <c r="AA186" s="16">
        <f t="shared" si="4"/>
        <v>4.6224156084261079</v>
      </c>
      <c r="AB186" s="5">
        <v>3</v>
      </c>
      <c r="AF186" s="22" t="s">
        <v>11</v>
      </c>
      <c r="AG186" s="5" t="s">
        <v>22</v>
      </c>
      <c r="AH186" s="5" t="s">
        <v>9</v>
      </c>
      <c r="AI186" s="5" t="s">
        <v>10</v>
      </c>
      <c r="AJ186" s="5">
        <v>2</v>
      </c>
      <c r="AK186" s="5">
        <v>40.549999999999997</v>
      </c>
      <c r="AL186" s="5">
        <v>3</v>
      </c>
      <c r="AM186" s="5">
        <f t="shared" si="5"/>
        <v>4.6224156084261079</v>
      </c>
    </row>
    <row r="187" spans="20:39" ht="15.75" thickBot="1">
      <c r="T187" s="5">
        <v>1</v>
      </c>
      <c r="U187" s="5">
        <v>2</v>
      </c>
      <c r="V187" s="5">
        <v>1</v>
      </c>
      <c r="W187" s="6">
        <v>1</v>
      </c>
      <c r="X187" s="5">
        <v>5</v>
      </c>
      <c r="Y187" s="5">
        <v>20.69</v>
      </c>
      <c r="Z187" s="5">
        <v>5</v>
      </c>
      <c r="AA187" s="16">
        <f t="shared" si="4"/>
        <v>3.2111269772632722</v>
      </c>
      <c r="AB187" s="5">
        <v>5</v>
      </c>
      <c r="AF187" s="22" t="s">
        <v>11</v>
      </c>
      <c r="AG187" s="5" t="s">
        <v>8</v>
      </c>
      <c r="AH187" s="5" t="s">
        <v>9</v>
      </c>
      <c r="AI187" s="5" t="s">
        <v>10</v>
      </c>
      <c r="AJ187" s="5">
        <v>5</v>
      </c>
      <c r="AK187" s="5">
        <v>20.69</v>
      </c>
      <c r="AL187" s="5">
        <v>5</v>
      </c>
      <c r="AM187" s="5">
        <f t="shared" si="5"/>
        <v>3.2111269772632722</v>
      </c>
    </row>
    <row r="188" spans="20:39" ht="15.75" thickBot="1">
      <c r="T188" s="5">
        <v>2</v>
      </c>
      <c r="U188" s="5">
        <v>1</v>
      </c>
      <c r="V188" s="5">
        <v>1</v>
      </c>
      <c r="W188" s="6">
        <v>1</v>
      </c>
      <c r="X188" s="5">
        <v>3</v>
      </c>
      <c r="Y188" s="5">
        <v>20.9</v>
      </c>
      <c r="Z188" s="5">
        <v>3.5</v>
      </c>
      <c r="AA188" s="16">
        <f t="shared" si="4"/>
        <v>2.9824059877485629</v>
      </c>
      <c r="AB188" s="5">
        <v>3.5</v>
      </c>
      <c r="AF188" s="22" t="s">
        <v>7</v>
      </c>
      <c r="AG188" s="5" t="s">
        <v>22</v>
      </c>
      <c r="AH188" s="5" t="s">
        <v>9</v>
      </c>
      <c r="AI188" s="5" t="s">
        <v>10</v>
      </c>
      <c r="AJ188" s="5">
        <v>3</v>
      </c>
      <c r="AK188" s="5">
        <v>20.9</v>
      </c>
      <c r="AL188" s="5">
        <v>3.5</v>
      </c>
      <c r="AM188" s="5">
        <f t="shared" si="5"/>
        <v>2.9824059877485629</v>
      </c>
    </row>
    <row r="189" spans="20:39" ht="15.75" thickBot="1">
      <c r="T189" s="5">
        <v>1</v>
      </c>
      <c r="U189" s="5">
        <v>1</v>
      </c>
      <c r="V189" s="5">
        <v>1</v>
      </c>
      <c r="W189" s="6">
        <v>1</v>
      </c>
      <c r="X189" s="5">
        <v>5</v>
      </c>
      <c r="Y189" s="5">
        <v>30.46</v>
      </c>
      <c r="Z189" s="5">
        <v>2</v>
      </c>
      <c r="AA189" s="16">
        <f t="shared" si="4"/>
        <v>4.2112895421011203</v>
      </c>
      <c r="AB189" s="5">
        <v>2</v>
      </c>
      <c r="AF189" s="22" t="s">
        <v>11</v>
      </c>
      <c r="AG189" s="5" t="s">
        <v>22</v>
      </c>
      <c r="AH189" s="5" t="s">
        <v>9</v>
      </c>
      <c r="AI189" s="5" t="s">
        <v>10</v>
      </c>
      <c r="AJ189" s="5">
        <v>5</v>
      </c>
      <c r="AK189" s="5">
        <v>30.46</v>
      </c>
      <c r="AL189" s="5">
        <v>2</v>
      </c>
      <c r="AM189" s="5">
        <f t="shared" si="5"/>
        <v>4.2112895421011203</v>
      </c>
    </row>
    <row r="190" spans="20:39" ht="15.75" thickBot="1">
      <c r="T190" s="5">
        <v>2</v>
      </c>
      <c r="U190" s="5">
        <v>1</v>
      </c>
      <c r="V190" s="5">
        <v>1</v>
      </c>
      <c r="W190" s="6">
        <v>1</v>
      </c>
      <c r="X190" s="5">
        <v>3</v>
      </c>
      <c r="Y190" s="5">
        <v>18.149999999999999</v>
      </c>
      <c r="Z190" s="5">
        <v>3.5</v>
      </c>
      <c r="AA190" s="16">
        <f t="shared" si="4"/>
        <v>2.7236971180036988</v>
      </c>
      <c r="AB190" s="5">
        <v>3.5</v>
      </c>
      <c r="AF190" s="22" t="s">
        <v>7</v>
      </c>
      <c r="AG190" s="5" t="s">
        <v>22</v>
      </c>
      <c r="AH190" s="5" t="s">
        <v>9</v>
      </c>
      <c r="AI190" s="5" t="s">
        <v>10</v>
      </c>
      <c r="AJ190" s="5">
        <v>3</v>
      </c>
      <c r="AK190" s="5">
        <v>18.149999999999999</v>
      </c>
      <c r="AL190" s="5">
        <v>3.5</v>
      </c>
      <c r="AM190" s="5">
        <f t="shared" si="5"/>
        <v>2.7236971180036988</v>
      </c>
    </row>
    <row r="191" spans="20:39" ht="15.75" thickBot="1">
      <c r="T191" s="5">
        <v>1</v>
      </c>
      <c r="U191" s="5">
        <v>1</v>
      </c>
      <c r="V191" s="5">
        <v>1</v>
      </c>
      <c r="W191" s="6">
        <v>1</v>
      </c>
      <c r="X191" s="5">
        <v>3</v>
      </c>
      <c r="Y191" s="5">
        <v>23.1</v>
      </c>
      <c r="Z191" s="5">
        <v>4</v>
      </c>
      <c r="AA191" s="16">
        <f t="shared" si="4"/>
        <v>3.1601570002065098</v>
      </c>
      <c r="AB191" s="5">
        <v>4</v>
      </c>
      <c r="AF191" s="22" t="s">
        <v>11</v>
      </c>
      <c r="AG191" s="5" t="s">
        <v>22</v>
      </c>
      <c r="AH191" s="5" t="s">
        <v>9</v>
      </c>
      <c r="AI191" s="5" t="s">
        <v>10</v>
      </c>
      <c r="AJ191" s="5">
        <v>3</v>
      </c>
      <c r="AK191" s="5">
        <v>23.1</v>
      </c>
      <c r="AL191" s="5">
        <v>4</v>
      </c>
      <c r="AM191" s="5">
        <f t="shared" si="5"/>
        <v>3.1601570002065098</v>
      </c>
    </row>
    <row r="192" spans="20:39" ht="15.75" thickBot="1">
      <c r="T192" s="5">
        <v>1</v>
      </c>
      <c r="U192" s="5">
        <v>1</v>
      </c>
      <c r="V192" s="5">
        <v>1</v>
      </c>
      <c r="W192" s="6">
        <v>1</v>
      </c>
      <c r="X192" s="5">
        <v>2</v>
      </c>
      <c r="Y192" s="5">
        <v>15.69</v>
      </c>
      <c r="Z192" s="5">
        <v>1.5</v>
      </c>
      <c r="AA192" s="16">
        <f t="shared" si="4"/>
        <v>2.2836874259325337</v>
      </c>
      <c r="AB192" s="5">
        <v>1.5</v>
      </c>
      <c r="AF192" s="22" t="s">
        <v>11</v>
      </c>
      <c r="AG192" s="5" t="s">
        <v>22</v>
      </c>
      <c r="AH192" s="5" t="s">
        <v>9</v>
      </c>
      <c r="AI192" s="5" t="s">
        <v>10</v>
      </c>
      <c r="AJ192" s="5">
        <v>2</v>
      </c>
      <c r="AK192" s="5">
        <v>15.69</v>
      </c>
      <c r="AL192" s="5">
        <v>1.5</v>
      </c>
      <c r="AM192" s="5">
        <f t="shared" si="5"/>
        <v>2.2836874259325337</v>
      </c>
    </row>
    <row r="193" spans="20:39" ht="15.75" thickBot="1">
      <c r="T193" s="5">
        <v>2</v>
      </c>
      <c r="U193" s="5">
        <v>1</v>
      </c>
      <c r="V193" s="5">
        <v>3</v>
      </c>
      <c r="W193" s="6">
        <v>2</v>
      </c>
      <c r="X193" s="5">
        <v>2</v>
      </c>
      <c r="Y193" s="5">
        <v>19.809999999999999</v>
      </c>
      <c r="Z193" s="5">
        <v>4.1900000000000004</v>
      </c>
      <c r="AA193" s="16">
        <f t="shared" si="4"/>
        <v>2.6791082520243386</v>
      </c>
      <c r="AB193" s="5">
        <v>4.1900000000000004</v>
      </c>
      <c r="AF193" s="22" t="s">
        <v>7</v>
      </c>
      <c r="AG193" s="5" t="s">
        <v>22</v>
      </c>
      <c r="AH193" s="5" t="s">
        <v>23</v>
      </c>
      <c r="AI193" s="5" t="s">
        <v>24</v>
      </c>
      <c r="AJ193" s="5">
        <v>2</v>
      </c>
      <c r="AK193" s="5">
        <v>19.809999999999999</v>
      </c>
      <c r="AL193" s="5">
        <v>4.1900000000000004</v>
      </c>
      <c r="AM193" s="5">
        <f t="shared" si="5"/>
        <v>2.6791082520243386</v>
      </c>
    </row>
    <row r="194" spans="20:39" ht="15.75" thickBot="1">
      <c r="T194" s="5">
        <v>1</v>
      </c>
      <c r="U194" s="5">
        <v>1</v>
      </c>
      <c r="V194" s="5">
        <v>3</v>
      </c>
      <c r="W194" s="6">
        <v>2</v>
      </c>
      <c r="X194" s="5">
        <v>2</v>
      </c>
      <c r="Y194" s="5">
        <v>28.44</v>
      </c>
      <c r="Z194" s="5">
        <v>2.56</v>
      </c>
      <c r="AA194" s="16">
        <f t="shared" si="4"/>
        <v>3.4617676399220958</v>
      </c>
      <c r="AB194" s="5">
        <v>2.56</v>
      </c>
      <c r="AF194" s="22" t="s">
        <v>11</v>
      </c>
      <c r="AG194" s="5" t="s">
        <v>22</v>
      </c>
      <c r="AH194" s="5" t="s">
        <v>23</v>
      </c>
      <c r="AI194" s="5" t="s">
        <v>24</v>
      </c>
      <c r="AJ194" s="5">
        <v>2</v>
      </c>
      <c r="AK194" s="5">
        <v>28.44</v>
      </c>
      <c r="AL194" s="5">
        <v>2.56</v>
      </c>
      <c r="AM194" s="5">
        <f t="shared" si="5"/>
        <v>3.4617676399220958</v>
      </c>
    </row>
    <row r="195" spans="20:39" ht="15.75" thickBot="1">
      <c r="T195" s="5">
        <v>1</v>
      </c>
      <c r="U195" s="5">
        <v>1</v>
      </c>
      <c r="V195" s="5">
        <v>3</v>
      </c>
      <c r="W195" s="6">
        <v>2</v>
      </c>
      <c r="X195" s="5">
        <v>2</v>
      </c>
      <c r="Y195" s="5">
        <v>15.48</v>
      </c>
      <c r="Z195" s="5">
        <v>2.02</v>
      </c>
      <c r="AA195" s="16">
        <f t="shared" ref="AA195:AA245" si="6" xml:space="preserve"> $L$27+ $T195*($L$30) - $U195*($L$31) + $V195*($L$32) - $W195*($L$33) + $X195*($L$28) + $Y195*($L$29)</f>
        <v>2.2425432937790255</v>
      </c>
      <c r="AB195" s="5">
        <v>2.02</v>
      </c>
      <c r="AF195" s="22" t="s">
        <v>11</v>
      </c>
      <c r="AG195" s="5" t="s">
        <v>22</v>
      </c>
      <c r="AH195" s="5" t="s">
        <v>23</v>
      </c>
      <c r="AI195" s="5" t="s">
        <v>24</v>
      </c>
      <c r="AJ195" s="5">
        <v>2</v>
      </c>
      <c r="AK195" s="5">
        <v>15.48</v>
      </c>
      <c r="AL195" s="5">
        <v>2.02</v>
      </c>
      <c r="AM195" s="5">
        <f t="shared" ref="AM195:AM245" si="7" xml:space="preserve"> $L$27+ $T195*($L$30) - $U195*($L$31) + $V195*($L$32) - $W195*($L$33) + $X195*($L$28) + $Y195*($L$29)</f>
        <v>2.2425432937790255</v>
      </c>
    </row>
    <row r="196" spans="20:39" ht="15.75" thickBot="1">
      <c r="T196" s="5">
        <v>1</v>
      </c>
      <c r="U196" s="5">
        <v>1</v>
      </c>
      <c r="V196" s="5">
        <v>3</v>
      </c>
      <c r="W196" s="6">
        <v>2</v>
      </c>
      <c r="X196" s="5">
        <v>2</v>
      </c>
      <c r="Y196" s="5">
        <v>16.579999999999998</v>
      </c>
      <c r="Z196" s="5">
        <v>4</v>
      </c>
      <c r="AA196" s="16">
        <f t="shared" si="6"/>
        <v>2.346026841676971</v>
      </c>
      <c r="AB196" s="5">
        <v>4</v>
      </c>
      <c r="AF196" s="22" t="s">
        <v>11</v>
      </c>
      <c r="AG196" s="5" t="s">
        <v>22</v>
      </c>
      <c r="AH196" s="5" t="s">
        <v>23</v>
      </c>
      <c r="AI196" s="5" t="s">
        <v>24</v>
      </c>
      <c r="AJ196" s="5">
        <v>2</v>
      </c>
      <c r="AK196" s="5">
        <v>16.579999999999998</v>
      </c>
      <c r="AL196" s="5">
        <v>4</v>
      </c>
      <c r="AM196" s="5">
        <f t="shared" si="7"/>
        <v>2.346026841676971</v>
      </c>
    </row>
    <row r="197" spans="20:39" ht="15.75" thickBot="1">
      <c r="T197" s="5">
        <v>1</v>
      </c>
      <c r="U197" s="5">
        <v>2</v>
      </c>
      <c r="V197" s="5">
        <v>3</v>
      </c>
      <c r="W197" s="6">
        <v>2</v>
      </c>
      <c r="X197" s="5">
        <v>2</v>
      </c>
      <c r="Y197" s="5">
        <v>7.56</v>
      </c>
      <c r="Z197" s="5">
        <v>1.44</v>
      </c>
      <c r="AA197" s="16">
        <f t="shared" si="6"/>
        <v>1.4164212413149952</v>
      </c>
      <c r="AB197" s="5">
        <v>1.44</v>
      </c>
      <c r="AF197" s="22" t="s">
        <v>11</v>
      </c>
      <c r="AG197" s="5" t="s">
        <v>8</v>
      </c>
      <c r="AH197" s="5" t="s">
        <v>23</v>
      </c>
      <c r="AI197" s="5" t="s">
        <v>24</v>
      </c>
      <c r="AJ197" s="5">
        <v>2</v>
      </c>
      <c r="AK197" s="5">
        <v>7.56</v>
      </c>
      <c r="AL197" s="5">
        <v>1.44</v>
      </c>
      <c r="AM197" s="5">
        <f t="shared" si="7"/>
        <v>1.4164212413149952</v>
      </c>
    </row>
    <row r="198" spans="20:39" ht="15.75" thickBot="1">
      <c r="T198" s="5">
        <v>1</v>
      </c>
      <c r="U198" s="5">
        <v>1</v>
      </c>
      <c r="V198" s="5">
        <v>3</v>
      </c>
      <c r="W198" s="6">
        <v>2</v>
      </c>
      <c r="X198" s="5">
        <v>2</v>
      </c>
      <c r="Y198" s="5">
        <v>10.34</v>
      </c>
      <c r="Z198" s="5">
        <v>2</v>
      </c>
      <c r="AA198" s="16">
        <f t="shared" si="6"/>
        <v>1.7589928972377151</v>
      </c>
      <c r="AB198" s="5">
        <v>2</v>
      </c>
      <c r="AF198" s="22" t="s">
        <v>11</v>
      </c>
      <c r="AG198" s="5" t="s">
        <v>22</v>
      </c>
      <c r="AH198" s="5" t="s">
        <v>23</v>
      </c>
      <c r="AI198" s="5" t="s">
        <v>24</v>
      </c>
      <c r="AJ198" s="5">
        <v>2</v>
      </c>
      <c r="AK198" s="5">
        <v>10.34</v>
      </c>
      <c r="AL198" s="5">
        <v>2</v>
      </c>
      <c r="AM198" s="5">
        <f t="shared" si="7"/>
        <v>1.7589928972377151</v>
      </c>
    </row>
    <row r="199" spans="20:39" ht="15.75" thickBot="1">
      <c r="T199" s="5">
        <v>2</v>
      </c>
      <c r="U199" s="5">
        <v>1</v>
      </c>
      <c r="V199" s="5">
        <v>3</v>
      </c>
      <c r="W199" s="6">
        <v>2</v>
      </c>
      <c r="X199" s="5">
        <v>4</v>
      </c>
      <c r="Y199" s="5">
        <v>43.11</v>
      </c>
      <c r="Z199" s="5">
        <v>5</v>
      </c>
      <c r="AA199" s="16">
        <f t="shared" si="6"/>
        <v>5.2298114789128185</v>
      </c>
      <c r="AB199" s="5">
        <v>5</v>
      </c>
      <c r="AF199" s="22" t="s">
        <v>7</v>
      </c>
      <c r="AG199" s="5" t="s">
        <v>22</v>
      </c>
      <c r="AH199" s="5" t="s">
        <v>23</v>
      </c>
      <c r="AI199" s="5" t="s">
        <v>24</v>
      </c>
      <c r="AJ199" s="5">
        <v>4</v>
      </c>
      <c r="AK199" s="5">
        <v>43.11</v>
      </c>
      <c r="AL199" s="5">
        <v>5</v>
      </c>
      <c r="AM199" s="5">
        <f t="shared" si="7"/>
        <v>5.2298114789128185</v>
      </c>
    </row>
    <row r="200" spans="20:39" ht="15.75" thickBot="1">
      <c r="T200" s="5">
        <v>2</v>
      </c>
      <c r="U200" s="5">
        <v>1</v>
      </c>
      <c r="V200" s="5">
        <v>3</v>
      </c>
      <c r="W200" s="6">
        <v>2</v>
      </c>
      <c r="X200" s="5">
        <v>2</v>
      </c>
      <c r="Y200" s="5">
        <v>13</v>
      </c>
      <c r="Z200" s="5">
        <v>2</v>
      </c>
      <c r="AA200" s="16">
        <f t="shared" si="6"/>
        <v>2.03845101458342</v>
      </c>
      <c r="AB200" s="5">
        <v>2</v>
      </c>
      <c r="AF200" s="22" t="s">
        <v>7</v>
      </c>
      <c r="AG200" s="5" t="s">
        <v>22</v>
      </c>
      <c r="AH200" s="5" t="s">
        <v>23</v>
      </c>
      <c r="AI200" s="5" t="s">
        <v>24</v>
      </c>
      <c r="AJ200" s="5">
        <v>2</v>
      </c>
      <c r="AK200" s="5">
        <v>13</v>
      </c>
      <c r="AL200" s="5">
        <v>2</v>
      </c>
      <c r="AM200" s="5">
        <f t="shared" si="7"/>
        <v>2.03845101458342</v>
      </c>
    </row>
    <row r="201" spans="20:39" ht="15.75" thickBot="1">
      <c r="T201" s="5">
        <v>1</v>
      </c>
      <c r="U201" s="5">
        <v>1</v>
      </c>
      <c r="V201" s="5">
        <v>3</v>
      </c>
      <c r="W201" s="6">
        <v>2</v>
      </c>
      <c r="X201" s="5">
        <v>2</v>
      </c>
      <c r="Y201" s="5">
        <v>13.51</v>
      </c>
      <c r="Z201" s="5">
        <v>2</v>
      </c>
      <c r="AA201" s="16">
        <f t="shared" si="6"/>
        <v>2.0572136670890679</v>
      </c>
      <c r="AB201" s="5">
        <v>2</v>
      </c>
      <c r="AF201" s="22" t="s">
        <v>11</v>
      </c>
      <c r="AG201" s="5" t="s">
        <v>22</v>
      </c>
      <c r="AH201" s="5" t="s">
        <v>23</v>
      </c>
      <c r="AI201" s="5" t="s">
        <v>24</v>
      </c>
      <c r="AJ201" s="5">
        <v>2</v>
      </c>
      <c r="AK201" s="5">
        <v>13.51</v>
      </c>
      <c r="AL201" s="5">
        <v>2</v>
      </c>
      <c r="AM201" s="5">
        <f t="shared" si="7"/>
        <v>2.0572136670890679</v>
      </c>
    </row>
    <row r="202" spans="20:39" ht="15.75" thickBot="1">
      <c r="T202" s="5">
        <v>1</v>
      </c>
      <c r="U202" s="5">
        <v>1</v>
      </c>
      <c r="V202" s="5">
        <v>3</v>
      </c>
      <c r="W202" s="6">
        <v>2</v>
      </c>
      <c r="X202" s="5">
        <v>3</v>
      </c>
      <c r="Y202" s="5">
        <v>18.71</v>
      </c>
      <c r="Z202" s="5">
        <v>4</v>
      </c>
      <c r="AA202" s="16">
        <f t="shared" si="6"/>
        <v>2.7257753860408074</v>
      </c>
      <c r="AB202" s="5">
        <v>4</v>
      </c>
      <c r="AF202" s="22" t="s">
        <v>11</v>
      </c>
      <c r="AG202" s="5" t="s">
        <v>22</v>
      </c>
      <c r="AH202" s="5" t="s">
        <v>23</v>
      </c>
      <c r="AI202" s="5" t="s">
        <v>24</v>
      </c>
      <c r="AJ202" s="5">
        <v>3</v>
      </c>
      <c r="AK202" s="5">
        <v>18.71</v>
      </c>
      <c r="AL202" s="5">
        <v>4</v>
      </c>
      <c r="AM202" s="5">
        <f t="shared" si="7"/>
        <v>2.7257753860408074</v>
      </c>
    </row>
    <row r="203" spans="20:39" ht="15.75" thickBot="1">
      <c r="T203" s="5">
        <v>2</v>
      </c>
      <c r="U203" s="5">
        <v>1</v>
      </c>
      <c r="V203" s="5">
        <v>3</v>
      </c>
      <c r="W203" s="6">
        <v>2</v>
      </c>
      <c r="X203" s="5">
        <v>2</v>
      </c>
      <c r="Y203" s="5">
        <v>12.74</v>
      </c>
      <c r="Z203" s="5">
        <v>2.0099999999999998</v>
      </c>
      <c r="AA203" s="16">
        <f t="shared" si="6"/>
        <v>2.0139912668984508</v>
      </c>
      <c r="AB203" s="5">
        <v>2.0099999999999998</v>
      </c>
      <c r="AF203" s="22" t="s">
        <v>7</v>
      </c>
      <c r="AG203" s="5" t="s">
        <v>22</v>
      </c>
      <c r="AH203" s="5" t="s">
        <v>23</v>
      </c>
      <c r="AI203" s="5" t="s">
        <v>24</v>
      </c>
      <c r="AJ203" s="5">
        <v>2</v>
      </c>
      <c r="AK203" s="5">
        <v>12.74</v>
      </c>
      <c r="AL203" s="5">
        <v>2.0099999999999998</v>
      </c>
      <c r="AM203" s="5">
        <f t="shared" si="7"/>
        <v>2.0139912668984508</v>
      </c>
    </row>
    <row r="204" spans="20:39" ht="15.75" thickBot="1">
      <c r="T204" s="5">
        <v>2</v>
      </c>
      <c r="U204" s="5">
        <v>1</v>
      </c>
      <c r="V204" s="5">
        <v>3</v>
      </c>
      <c r="W204" s="6">
        <v>2</v>
      </c>
      <c r="X204" s="5">
        <v>2</v>
      </c>
      <c r="Y204" s="5">
        <v>13</v>
      </c>
      <c r="Z204" s="5">
        <v>2</v>
      </c>
      <c r="AA204" s="16">
        <f t="shared" si="6"/>
        <v>2.03845101458342</v>
      </c>
      <c r="AB204" s="5">
        <v>2</v>
      </c>
      <c r="AF204" s="22" t="s">
        <v>7</v>
      </c>
      <c r="AG204" s="5" t="s">
        <v>22</v>
      </c>
      <c r="AH204" s="5" t="s">
        <v>23</v>
      </c>
      <c r="AI204" s="5" t="s">
        <v>24</v>
      </c>
      <c r="AJ204" s="5">
        <v>2</v>
      </c>
      <c r="AK204" s="5">
        <v>13</v>
      </c>
      <c r="AL204" s="5">
        <v>2</v>
      </c>
      <c r="AM204" s="5">
        <f t="shared" si="7"/>
        <v>2.03845101458342</v>
      </c>
    </row>
    <row r="205" spans="20:39" ht="15.75" thickBot="1">
      <c r="T205" s="5">
        <v>2</v>
      </c>
      <c r="U205" s="5">
        <v>1</v>
      </c>
      <c r="V205" s="5">
        <v>3</v>
      </c>
      <c r="W205" s="6">
        <v>2</v>
      </c>
      <c r="X205" s="5">
        <v>2</v>
      </c>
      <c r="Y205" s="5">
        <v>16.399999999999999</v>
      </c>
      <c r="Z205" s="5">
        <v>2.5</v>
      </c>
      <c r="AA205" s="16">
        <f t="shared" si="6"/>
        <v>2.3583092535407069</v>
      </c>
      <c r="AB205" s="5">
        <v>2.5</v>
      </c>
      <c r="AF205" s="22" t="s">
        <v>7</v>
      </c>
      <c r="AG205" s="5" t="s">
        <v>22</v>
      </c>
      <c r="AH205" s="5" t="s">
        <v>23</v>
      </c>
      <c r="AI205" s="5" t="s">
        <v>24</v>
      </c>
      <c r="AJ205" s="5">
        <v>2</v>
      </c>
      <c r="AK205" s="5">
        <v>16.399999999999999</v>
      </c>
      <c r="AL205" s="5">
        <v>2.5</v>
      </c>
      <c r="AM205" s="5">
        <f t="shared" si="7"/>
        <v>2.3583092535407069</v>
      </c>
    </row>
    <row r="206" spans="20:39" ht="15.75" thickBot="1">
      <c r="T206" s="5">
        <v>1</v>
      </c>
      <c r="U206" s="5">
        <v>1</v>
      </c>
      <c r="V206" s="5">
        <v>3</v>
      </c>
      <c r="W206" s="6">
        <v>2</v>
      </c>
      <c r="X206" s="5">
        <v>4</v>
      </c>
      <c r="Y206" s="5">
        <v>20.53</v>
      </c>
      <c r="Z206" s="5">
        <v>4</v>
      </c>
      <c r="AA206" s="16">
        <f t="shared" si="6"/>
        <v>3.0763603850879502</v>
      </c>
      <c r="AB206" s="5">
        <v>4</v>
      </c>
      <c r="AF206" s="22" t="s">
        <v>11</v>
      </c>
      <c r="AG206" s="5" t="s">
        <v>22</v>
      </c>
      <c r="AH206" s="5" t="s">
        <v>23</v>
      </c>
      <c r="AI206" s="5" t="s">
        <v>24</v>
      </c>
      <c r="AJ206" s="5">
        <v>4</v>
      </c>
      <c r="AK206" s="5">
        <v>20.53</v>
      </c>
      <c r="AL206" s="5">
        <v>4</v>
      </c>
      <c r="AM206" s="5">
        <f t="shared" si="7"/>
        <v>3.0763603850879502</v>
      </c>
    </row>
    <row r="207" spans="20:39" ht="15.75" thickBot="1">
      <c r="T207" s="5">
        <v>2</v>
      </c>
      <c r="U207" s="5">
        <v>1</v>
      </c>
      <c r="V207" s="5">
        <v>3</v>
      </c>
      <c r="W207" s="6">
        <v>2</v>
      </c>
      <c r="X207" s="5">
        <v>3</v>
      </c>
      <c r="Y207" s="5">
        <v>16.47</v>
      </c>
      <c r="Z207" s="5">
        <v>3.23</v>
      </c>
      <c r="AA207" s="16">
        <f t="shared" si="6"/>
        <v>2.544261335477481</v>
      </c>
      <c r="AB207" s="5">
        <v>3.23</v>
      </c>
      <c r="AF207" s="22" t="s">
        <v>7</v>
      </c>
      <c r="AG207" s="5" t="s">
        <v>22</v>
      </c>
      <c r="AH207" s="5" t="s">
        <v>23</v>
      </c>
      <c r="AI207" s="5" t="s">
        <v>24</v>
      </c>
      <c r="AJ207" s="5">
        <v>3</v>
      </c>
      <c r="AK207" s="5">
        <v>16.47</v>
      </c>
      <c r="AL207" s="5">
        <v>3.23</v>
      </c>
      <c r="AM207" s="5">
        <f t="shared" si="7"/>
        <v>2.544261335477481</v>
      </c>
    </row>
    <row r="208" spans="20:39" ht="15.75" thickBot="1">
      <c r="T208" s="5">
        <v>1</v>
      </c>
      <c r="U208" s="5">
        <v>1</v>
      </c>
      <c r="V208" s="5">
        <v>2</v>
      </c>
      <c r="W208" s="6">
        <v>1</v>
      </c>
      <c r="X208" s="5">
        <v>3</v>
      </c>
      <c r="Y208" s="5">
        <v>26.59</v>
      </c>
      <c r="Z208" s="5">
        <v>3.41</v>
      </c>
      <c r="AA208" s="16">
        <f t="shared" si="6"/>
        <v>3.4806482539053558</v>
      </c>
      <c r="AB208" s="5">
        <v>3.41</v>
      </c>
      <c r="AF208" s="22" t="s">
        <v>11</v>
      </c>
      <c r="AG208" s="5" t="s">
        <v>22</v>
      </c>
      <c r="AH208" s="5" t="s">
        <v>21</v>
      </c>
      <c r="AI208" s="5" t="s">
        <v>10</v>
      </c>
      <c r="AJ208" s="5">
        <v>3</v>
      </c>
      <c r="AK208" s="5">
        <v>26.59</v>
      </c>
      <c r="AL208" s="5">
        <v>3.41</v>
      </c>
      <c r="AM208" s="5">
        <f t="shared" si="7"/>
        <v>3.4806482539053558</v>
      </c>
    </row>
    <row r="209" spans="20:39" ht="15.75" thickBot="1">
      <c r="T209" s="5">
        <v>1</v>
      </c>
      <c r="U209" s="5">
        <v>1</v>
      </c>
      <c r="V209" s="5">
        <v>2</v>
      </c>
      <c r="W209" s="6">
        <v>1</v>
      </c>
      <c r="X209" s="5">
        <v>4</v>
      </c>
      <c r="Y209" s="5">
        <v>38.729999999999997</v>
      </c>
      <c r="Z209" s="5">
        <v>3</v>
      </c>
      <c r="AA209" s="16">
        <f t="shared" si="6"/>
        <v>4.8020970841404989</v>
      </c>
      <c r="AB209" s="5">
        <v>3</v>
      </c>
      <c r="AF209" s="22" t="s">
        <v>11</v>
      </c>
      <c r="AG209" s="5" t="s">
        <v>22</v>
      </c>
      <c r="AH209" s="5" t="s">
        <v>21</v>
      </c>
      <c r="AI209" s="5" t="s">
        <v>10</v>
      </c>
      <c r="AJ209" s="5">
        <v>4</v>
      </c>
      <c r="AK209" s="5">
        <v>38.729999999999997</v>
      </c>
      <c r="AL209" s="5">
        <v>3</v>
      </c>
      <c r="AM209" s="5">
        <f t="shared" si="7"/>
        <v>4.8020970841404989</v>
      </c>
    </row>
    <row r="210" spans="20:39" ht="15.75" thickBot="1">
      <c r="T210" s="5">
        <v>1</v>
      </c>
      <c r="U210" s="5">
        <v>1</v>
      </c>
      <c r="V210" s="5">
        <v>2</v>
      </c>
      <c r="W210" s="6">
        <v>1</v>
      </c>
      <c r="X210" s="5">
        <v>2</v>
      </c>
      <c r="Y210" s="5">
        <v>24.27</v>
      </c>
      <c r="Z210" s="5">
        <v>2.0299999999999998</v>
      </c>
      <c r="AA210" s="16">
        <f t="shared" si="6"/>
        <v>3.0830252785409655</v>
      </c>
      <c r="AB210" s="5">
        <v>2.0299999999999998</v>
      </c>
      <c r="AF210" s="22" t="s">
        <v>11</v>
      </c>
      <c r="AG210" s="5" t="s">
        <v>22</v>
      </c>
      <c r="AH210" s="5" t="s">
        <v>21</v>
      </c>
      <c r="AI210" s="5" t="s">
        <v>10</v>
      </c>
      <c r="AJ210" s="5">
        <v>2</v>
      </c>
      <c r="AK210" s="5">
        <v>24.27</v>
      </c>
      <c r="AL210" s="5">
        <v>2.0299999999999998</v>
      </c>
      <c r="AM210" s="5">
        <f t="shared" si="7"/>
        <v>3.0830252785409655</v>
      </c>
    </row>
    <row r="211" spans="20:39" ht="15.75" thickBot="1">
      <c r="T211" s="5">
        <v>2</v>
      </c>
      <c r="U211" s="5">
        <v>1</v>
      </c>
      <c r="V211" s="5">
        <v>2</v>
      </c>
      <c r="W211" s="6">
        <v>1</v>
      </c>
      <c r="X211" s="5">
        <v>2</v>
      </c>
      <c r="Y211" s="5">
        <v>12.76</v>
      </c>
      <c r="Z211" s="5">
        <v>2.23</v>
      </c>
      <c r="AA211" s="16">
        <f t="shared" si="6"/>
        <v>2.02942714705586</v>
      </c>
      <c r="AB211" s="5">
        <v>2.23</v>
      </c>
      <c r="AF211" s="22" t="s">
        <v>7</v>
      </c>
      <c r="AG211" s="5" t="s">
        <v>22</v>
      </c>
      <c r="AH211" s="5" t="s">
        <v>21</v>
      </c>
      <c r="AI211" s="5" t="s">
        <v>10</v>
      </c>
      <c r="AJ211" s="5">
        <v>2</v>
      </c>
      <c r="AK211" s="5">
        <v>12.76</v>
      </c>
      <c r="AL211" s="5">
        <v>2.23</v>
      </c>
      <c r="AM211" s="5">
        <f t="shared" si="7"/>
        <v>2.02942714705586</v>
      </c>
    </row>
    <row r="212" spans="20:39" ht="15.75" thickBot="1">
      <c r="T212" s="5">
        <v>1</v>
      </c>
      <c r="U212" s="5">
        <v>1</v>
      </c>
      <c r="V212" s="5">
        <v>2</v>
      </c>
      <c r="W212" s="6">
        <v>1</v>
      </c>
      <c r="X212" s="5">
        <v>3</v>
      </c>
      <c r="Y212" s="5">
        <v>30.06</v>
      </c>
      <c r="Z212" s="5">
        <v>2</v>
      </c>
      <c r="AA212" s="16">
        <f t="shared" si="6"/>
        <v>3.8070918095470576</v>
      </c>
      <c r="AB212" s="5">
        <v>2</v>
      </c>
      <c r="AF212" s="22" t="s">
        <v>11</v>
      </c>
      <c r="AG212" s="5" t="s">
        <v>22</v>
      </c>
      <c r="AH212" s="5" t="s">
        <v>21</v>
      </c>
      <c r="AI212" s="5" t="s">
        <v>10</v>
      </c>
      <c r="AJ212" s="5">
        <v>3</v>
      </c>
      <c r="AK212" s="5">
        <v>30.06</v>
      </c>
      <c r="AL212" s="5">
        <v>2</v>
      </c>
      <c r="AM212" s="5">
        <f t="shared" si="7"/>
        <v>3.8070918095470576</v>
      </c>
    </row>
    <row r="213" spans="20:39" ht="15.75" thickBot="1">
      <c r="T213" s="5">
        <v>1</v>
      </c>
      <c r="U213" s="5">
        <v>1</v>
      </c>
      <c r="V213" s="5">
        <v>2</v>
      </c>
      <c r="W213" s="6">
        <v>1</v>
      </c>
      <c r="X213" s="5">
        <v>4</v>
      </c>
      <c r="Y213" s="5">
        <v>25.89</v>
      </c>
      <c r="Z213" s="5">
        <v>5.16</v>
      </c>
      <c r="AA213" s="16">
        <f t="shared" si="6"/>
        <v>3.5941618523135683</v>
      </c>
      <c r="AB213" s="5">
        <v>5.16</v>
      </c>
      <c r="AF213" s="22" t="s">
        <v>11</v>
      </c>
      <c r="AG213" s="5" t="s">
        <v>22</v>
      </c>
      <c r="AH213" s="5" t="s">
        <v>21</v>
      </c>
      <c r="AI213" s="5" t="s">
        <v>10</v>
      </c>
      <c r="AJ213" s="5">
        <v>4</v>
      </c>
      <c r="AK213" s="5">
        <v>25.89</v>
      </c>
      <c r="AL213" s="5">
        <v>5.16</v>
      </c>
      <c r="AM213" s="5">
        <f t="shared" si="7"/>
        <v>3.5941618523135683</v>
      </c>
    </row>
    <row r="214" spans="20:39" ht="15.75" thickBot="1">
      <c r="T214" s="5">
        <v>1</v>
      </c>
      <c r="U214" s="5">
        <v>2</v>
      </c>
      <c r="V214" s="5">
        <v>2</v>
      </c>
      <c r="W214" s="6">
        <v>1</v>
      </c>
      <c r="X214" s="5">
        <v>4</v>
      </c>
      <c r="Y214" s="5">
        <v>48.33</v>
      </c>
      <c r="Z214" s="5">
        <v>9</v>
      </c>
      <c r="AA214" s="16">
        <f t="shared" si="6"/>
        <v>5.6241857218328413</v>
      </c>
      <c r="AB214" s="5">
        <v>9</v>
      </c>
      <c r="AF214" s="22" t="s">
        <v>11</v>
      </c>
      <c r="AG214" s="5" t="s">
        <v>8</v>
      </c>
      <c r="AH214" s="5" t="s">
        <v>21</v>
      </c>
      <c r="AI214" s="5" t="s">
        <v>10</v>
      </c>
      <c r="AJ214" s="5">
        <v>4</v>
      </c>
      <c r="AK214" s="5">
        <v>48.33</v>
      </c>
      <c r="AL214" s="5">
        <v>9</v>
      </c>
      <c r="AM214" s="5">
        <f t="shared" si="7"/>
        <v>5.6241857218328413</v>
      </c>
    </row>
    <row r="215" spans="20:39" ht="15.75" thickBot="1">
      <c r="T215" s="5">
        <v>2</v>
      </c>
      <c r="U215" s="5">
        <v>1</v>
      </c>
      <c r="V215" s="5">
        <v>2</v>
      </c>
      <c r="W215" s="6">
        <v>1</v>
      </c>
      <c r="X215" s="5">
        <v>2</v>
      </c>
      <c r="Y215" s="5">
        <v>13.27</v>
      </c>
      <c r="Z215" s="5">
        <v>2.5</v>
      </c>
      <c r="AA215" s="16">
        <f t="shared" si="6"/>
        <v>2.0774058828994528</v>
      </c>
      <c r="AB215" s="5">
        <v>2.5</v>
      </c>
      <c r="AF215" s="22" t="s">
        <v>7</v>
      </c>
      <c r="AG215" s="5" t="s">
        <v>22</v>
      </c>
      <c r="AH215" s="5" t="s">
        <v>21</v>
      </c>
      <c r="AI215" s="5" t="s">
        <v>10</v>
      </c>
      <c r="AJ215" s="5">
        <v>2</v>
      </c>
      <c r="AK215" s="5">
        <v>13.27</v>
      </c>
      <c r="AL215" s="5">
        <v>2.5</v>
      </c>
      <c r="AM215" s="5">
        <f t="shared" si="7"/>
        <v>2.0774058828994528</v>
      </c>
    </row>
    <row r="216" spans="20:39" ht="15.75" thickBot="1">
      <c r="T216" s="5">
        <v>2</v>
      </c>
      <c r="U216" s="5">
        <v>1</v>
      </c>
      <c r="V216" s="5">
        <v>2</v>
      </c>
      <c r="W216" s="6">
        <v>1</v>
      </c>
      <c r="X216" s="5">
        <v>3</v>
      </c>
      <c r="Y216" s="5">
        <v>28.17</v>
      </c>
      <c r="Z216" s="5">
        <v>6.5</v>
      </c>
      <c r="AA216" s="16">
        <f t="shared" si="6"/>
        <v>3.6585043424058052</v>
      </c>
      <c r="AB216" s="5">
        <v>6.5</v>
      </c>
      <c r="AF216" s="22" t="s">
        <v>7</v>
      </c>
      <c r="AG216" s="5" t="s">
        <v>22</v>
      </c>
      <c r="AH216" s="5" t="s">
        <v>21</v>
      </c>
      <c r="AI216" s="5" t="s">
        <v>10</v>
      </c>
      <c r="AJ216" s="5">
        <v>3</v>
      </c>
      <c r="AK216" s="5">
        <v>28.17</v>
      </c>
      <c r="AL216" s="5">
        <v>6.5</v>
      </c>
      <c r="AM216" s="5">
        <f t="shared" si="7"/>
        <v>3.6585043424058052</v>
      </c>
    </row>
    <row r="217" spans="20:39" ht="15.75" thickBot="1">
      <c r="T217" s="5">
        <v>2</v>
      </c>
      <c r="U217" s="5">
        <v>1</v>
      </c>
      <c r="V217" s="5">
        <v>2</v>
      </c>
      <c r="W217" s="6">
        <v>1</v>
      </c>
      <c r="X217" s="5">
        <v>2</v>
      </c>
      <c r="Y217" s="5">
        <v>12.9</v>
      </c>
      <c r="Z217" s="5">
        <v>1.1000000000000001</v>
      </c>
      <c r="AA217" s="16">
        <f t="shared" si="6"/>
        <v>2.0425977804246891</v>
      </c>
      <c r="AB217" s="5">
        <v>1.1000000000000001</v>
      </c>
      <c r="AF217" s="22" t="s">
        <v>7</v>
      </c>
      <c r="AG217" s="5" t="s">
        <v>22</v>
      </c>
      <c r="AH217" s="5" t="s">
        <v>21</v>
      </c>
      <c r="AI217" s="5" t="s">
        <v>10</v>
      </c>
      <c r="AJ217" s="5">
        <v>2</v>
      </c>
      <c r="AK217" s="5">
        <v>12.9</v>
      </c>
      <c r="AL217" s="5">
        <v>1.1000000000000001</v>
      </c>
      <c r="AM217" s="5">
        <f t="shared" si="7"/>
        <v>2.0425977804246891</v>
      </c>
    </row>
    <row r="218" spans="20:39" ht="15.75" thickBot="1">
      <c r="T218" s="5">
        <v>1</v>
      </c>
      <c r="U218" s="5">
        <v>1</v>
      </c>
      <c r="V218" s="5">
        <v>2</v>
      </c>
      <c r="W218" s="6">
        <v>1</v>
      </c>
      <c r="X218" s="5">
        <v>5</v>
      </c>
      <c r="Y218" s="5">
        <v>28.15</v>
      </c>
      <c r="Z218" s="5">
        <v>3</v>
      </c>
      <c r="AA218" s="16">
        <f t="shared" si="6"/>
        <v>3.986140270519889</v>
      </c>
      <c r="AB218" s="5">
        <v>3</v>
      </c>
      <c r="AF218" s="22" t="s">
        <v>11</v>
      </c>
      <c r="AG218" s="5" t="s">
        <v>22</v>
      </c>
      <c r="AH218" s="5" t="s">
        <v>21</v>
      </c>
      <c r="AI218" s="5" t="s">
        <v>10</v>
      </c>
      <c r="AJ218" s="5">
        <v>5</v>
      </c>
      <c r="AK218" s="5">
        <v>28.15</v>
      </c>
      <c r="AL218" s="5">
        <v>3</v>
      </c>
      <c r="AM218" s="5">
        <f t="shared" si="7"/>
        <v>3.986140270519889</v>
      </c>
    </row>
    <row r="219" spans="20:39" ht="15.75" thickBot="1">
      <c r="T219" s="5">
        <v>1</v>
      </c>
      <c r="U219" s="5">
        <v>1</v>
      </c>
      <c r="V219" s="5">
        <v>2</v>
      </c>
      <c r="W219" s="6">
        <v>1</v>
      </c>
      <c r="X219" s="5">
        <v>2</v>
      </c>
      <c r="Y219" s="5">
        <v>11.59</v>
      </c>
      <c r="Z219" s="5">
        <v>1.5</v>
      </c>
      <c r="AA219" s="16">
        <f t="shared" si="6"/>
        <v>1.890142199135554</v>
      </c>
      <c r="AB219" s="5">
        <v>1.5</v>
      </c>
      <c r="AF219" s="22" t="s">
        <v>11</v>
      </c>
      <c r="AG219" s="5" t="s">
        <v>22</v>
      </c>
      <c r="AH219" s="5" t="s">
        <v>21</v>
      </c>
      <c r="AI219" s="5" t="s">
        <v>10</v>
      </c>
      <c r="AJ219" s="5">
        <v>2</v>
      </c>
      <c r="AK219" s="5">
        <v>11.59</v>
      </c>
      <c r="AL219" s="5">
        <v>1.5</v>
      </c>
      <c r="AM219" s="5">
        <f t="shared" si="7"/>
        <v>1.890142199135554</v>
      </c>
    </row>
    <row r="220" spans="20:39" ht="15.75" thickBot="1">
      <c r="T220" s="5">
        <v>1</v>
      </c>
      <c r="U220" s="5">
        <v>1</v>
      </c>
      <c r="V220" s="5">
        <v>2</v>
      </c>
      <c r="W220" s="6">
        <v>1</v>
      </c>
      <c r="X220" s="5">
        <v>2</v>
      </c>
      <c r="Y220" s="5">
        <v>7.74</v>
      </c>
      <c r="Z220" s="5">
        <v>1.44</v>
      </c>
      <c r="AA220" s="16">
        <f t="shared" si="6"/>
        <v>1.5279497814927439</v>
      </c>
      <c r="AB220" s="5">
        <v>1.44</v>
      </c>
      <c r="AF220" s="22" t="s">
        <v>11</v>
      </c>
      <c r="AG220" s="5" t="s">
        <v>22</v>
      </c>
      <c r="AH220" s="5" t="s">
        <v>21</v>
      </c>
      <c r="AI220" s="5" t="s">
        <v>10</v>
      </c>
      <c r="AJ220" s="5">
        <v>2</v>
      </c>
      <c r="AK220" s="5">
        <v>7.74</v>
      </c>
      <c r="AL220" s="5">
        <v>1.44</v>
      </c>
      <c r="AM220" s="5">
        <f t="shared" si="7"/>
        <v>1.5279497814927439</v>
      </c>
    </row>
    <row r="221" spans="20:39" ht="15.75" thickBot="1">
      <c r="T221" s="5">
        <v>2</v>
      </c>
      <c r="U221" s="5">
        <v>1</v>
      </c>
      <c r="V221" s="5">
        <v>2</v>
      </c>
      <c r="W221" s="6">
        <v>1</v>
      </c>
      <c r="X221" s="5">
        <v>4</v>
      </c>
      <c r="Y221" s="5">
        <v>30.14</v>
      </c>
      <c r="Z221" s="5">
        <v>3.09</v>
      </c>
      <c r="AA221" s="16">
        <f t="shared" si="6"/>
        <v>4.023200734348122</v>
      </c>
      <c r="AB221" s="5">
        <v>3.09</v>
      </c>
      <c r="AF221" s="22" t="s">
        <v>7</v>
      </c>
      <c r="AG221" s="5" t="s">
        <v>22</v>
      </c>
      <c r="AH221" s="5" t="s">
        <v>21</v>
      </c>
      <c r="AI221" s="5" t="s">
        <v>10</v>
      </c>
      <c r="AJ221" s="5">
        <v>4</v>
      </c>
      <c r="AK221" s="5">
        <v>30.14</v>
      </c>
      <c r="AL221" s="5">
        <v>3.09</v>
      </c>
      <c r="AM221" s="5">
        <f t="shared" si="7"/>
        <v>4.023200734348122</v>
      </c>
    </row>
    <row r="222" spans="20:39" ht="15.75" thickBot="1">
      <c r="T222" s="5">
        <v>1</v>
      </c>
      <c r="U222" s="5">
        <v>1</v>
      </c>
      <c r="V222" s="5">
        <v>4</v>
      </c>
      <c r="W222" s="6">
        <v>2</v>
      </c>
      <c r="X222" s="5">
        <v>2</v>
      </c>
      <c r="Y222" s="5">
        <v>12.16</v>
      </c>
      <c r="Z222" s="5">
        <v>2.2000000000000002</v>
      </c>
      <c r="AA222" s="16">
        <f t="shared" si="6"/>
        <v>1.9223773100369528</v>
      </c>
      <c r="AB222" s="5">
        <v>2.2000000000000002</v>
      </c>
      <c r="AF222" s="22" t="s">
        <v>11</v>
      </c>
      <c r="AG222" s="5" t="s">
        <v>22</v>
      </c>
      <c r="AH222" s="5" t="s">
        <v>25</v>
      </c>
      <c r="AI222" s="5" t="s">
        <v>24</v>
      </c>
      <c r="AJ222" s="5">
        <v>2</v>
      </c>
      <c r="AK222" s="5">
        <v>12.16</v>
      </c>
      <c r="AL222" s="5">
        <v>2.2000000000000002</v>
      </c>
      <c r="AM222" s="5">
        <f t="shared" si="7"/>
        <v>1.9223773100369528</v>
      </c>
    </row>
    <row r="223" spans="20:39" ht="15.75" thickBot="1">
      <c r="T223" s="5">
        <v>2</v>
      </c>
      <c r="U223" s="5">
        <v>1</v>
      </c>
      <c r="V223" s="5">
        <v>4</v>
      </c>
      <c r="W223" s="6">
        <v>2</v>
      </c>
      <c r="X223" s="5">
        <v>2</v>
      </c>
      <c r="Y223" s="5">
        <v>13.42</v>
      </c>
      <c r="Z223" s="5">
        <v>3.48</v>
      </c>
      <c r="AA223" s="16">
        <f t="shared" si="6"/>
        <v>2.070129093694363</v>
      </c>
      <c r="AB223" s="5">
        <v>3.48</v>
      </c>
      <c r="AF223" s="22" t="s">
        <v>7</v>
      </c>
      <c r="AG223" s="5" t="s">
        <v>22</v>
      </c>
      <c r="AH223" s="5" t="s">
        <v>25</v>
      </c>
      <c r="AI223" s="5" t="s">
        <v>24</v>
      </c>
      <c r="AJ223" s="5">
        <v>2</v>
      </c>
      <c r="AK223" s="5">
        <v>13.42</v>
      </c>
      <c r="AL223" s="5">
        <v>3.48</v>
      </c>
      <c r="AM223" s="5">
        <f t="shared" si="7"/>
        <v>2.070129093694363</v>
      </c>
    </row>
    <row r="224" spans="20:39" ht="15.75" thickBot="1">
      <c r="T224" s="5">
        <v>1</v>
      </c>
      <c r="U224" s="5">
        <v>1</v>
      </c>
      <c r="V224" s="5">
        <v>4</v>
      </c>
      <c r="W224" s="6">
        <v>2</v>
      </c>
      <c r="X224" s="5">
        <v>1</v>
      </c>
      <c r="Y224" s="5">
        <v>8.58</v>
      </c>
      <c r="Z224" s="5">
        <v>1.92</v>
      </c>
      <c r="AA224" s="16">
        <f t="shared" si="6"/>
        <v>1.4062186343530971</v>
      </c>
      <c r="AB224" s="5">
        <v>1.92</v>
      </c>
      <c r="AF224" s="22" t="s">
        <v>11</v>
      </c>
      <c r="AG224" s="5" t="s">
        <v>22</v>
      </c>
      <c r="AH224" s="5" t="s">
        <v>25</v>
      </c>
      <c r="AI224" s="5" t="s">
        <v>24</v>
      </c>
      <c r="AJ224" s="5">
        <v>1</v>
      </c>
      <c r="AK224" s="5">
        <v>8.58</v>
      </c>
      <c r="AL224" s="5">
        <v>1.92</v>
      </c>
      <c r="AM224" s="5">
        <f t="shared" si="7"/>
        <v>1.4062186343530971</v>
      </c>
    </row>
    <row r="225" spans="20:39" ht="15.75" thickBot="1">
      <c r="T225" s="5">
        <v>2</v>
      </c>
      <c r="U225" s="5">
        <v>2</v>
      </c>
      <c r="V225" s="5">
        <v>4</v>
      </c>
      <c r="W225" s="6">
        <v>2</v>
      </c>
      <c r="X225" s="5">
        <v>3</v>
      </c>
      <c r="Y225" s="5">
        <v>15.98</v>
      </c>
      <c r="Z225" s="5">
        <v>3</v>
      </c>
      <c r="AA225" s="16">
        <f t="shared" si="6"/>
        <v>2.4092897900922123</v>
      </c>
      <c r="AB225" s="5">
        <v>3</v>
      </c>
      <c r="AF225" s="22" t="s">
        <v>7</v>
      </c>
      <c r="AG225" s="5" t="s">
        <v>8</v>
      </c>
      <c r="AH225" s="5" t="s">
        <v>25</v>
      </c>
      <c r="AI225" s="5" t="s">
        <v>24</v>
      </c>
      <c r="AJ225" s="5">
        <v>3</v>
      </c>
      <c r="AK225" s="5">
        <v>15.98</v>
      </c>
      <c r="AL225" s="5">
        <v>3</v>
      </c>
      <c r="AM225" s="5">
        <f t="shared" si="7"/>
        <v>2.4092897900922123</v>
      </c>
    </row>
    <row r="226" spans="20:39" ht="15.75" thickBot="1">
      <c r="T226" s="5">
        <v>1</v>
      </c>
      <c r="U226" s="5">
        <v>1</v>
      </c>
      <c r="V226" s="5">
        <v>4</v>
      </c>
      <c r="W226" s="6">
        <v>2</v>
      </c>
      <c r="X226" s="5">
        <v>2</v>
      </c>
      <c r="Y226" s="5">
        <v>13.42</v>
      </c>
      <c r="Z226" s="5">
        <v>1.58</v>
      </c>
      <c r="AA226" s="16">
        <f t="shared" si="6"/>
        <v>2.0409130103564177</v>
      </c>
      <c r="AB226" s="5">
        <v>1.58</v>
      </c>
      <c r="AF226" s="22" t="s">
        <v>11</v>
      </c>
      <c r="AG226" s="5" t="s">
        <v>22</v>
      </c>
      <c r="AH226" s="5" t="s">
        <v>25</v>
      </c>
      <c r="AI226" s="5" t="s">
        <v>24</v>
      </c>
      <c r="AJ226" s="5">
        <v>2</v>
      </c>
      <c r="AK226" s="5">
        <v>13.42</v>
      </c>
      <c r="AL226" s="5">
        <v>1.58</v>
      </c>
      <c r="AM226" s="5">
        <f t="shared" si="7"/>
        <v>2.0409130103564177</v>
      </c>
    </row>
    <row r="227" spans="20:39" ht="15.75" thickBot="1">
      <c r="T227" s="5">
        <v>2</v>
      </c>
      <c r="U227" s="5">
        <v>1</v>
      </c>
      <c r="V227" s="5">
        <v>4</v>
      </c>
      <c r="W227" s="6">
        <v>2</v>
      </c>
      <c r="X227" s="5">
        <v>2</v>
      </c>
      <c r="Y227" s="5">
        <v>16.27</v>
      </c>
      <c r="Z227" s="5">
        <v>2.5</v>
      </c>
      <c r="AA227" s="16">
        <f t="shared" si="6"/>
        <v>2.3382455587026771</v>
      </c>
      <c r="AB227" s="5">
        <v>2.5</v>
      </c>
      <c r="AF227" s="22" t="s">
        <v>7</v>
      </c>
      <c r="AG227" s="5" t="s">
        <v>22</v>
      </c>
      <c r="AH227" s="5" t="s">
        <v>25</v>
      </c>
      <c r="AI227" s="5" t="s">
        <v>24</v>
      </c>
      <c r="AJ227" s="5">
        <v>2</v>
      </c>
      <c r="AK227" s="5">
        <v>16.27</v>
      </c>
      <c r="AL227" s="5">
        <v>2.5</v>
      </c>
      <c r="AM227" s="5">
        <f t="shared" si="7"/>
        <v>2.3382455587026771</v>
      </c>
    </row>
    <row r="228" spans="20:39" ht="15.75" thickBot="1">
      <c r="T228" s="5">
        <v>2</v>
      </c>
      <c r="U228" s="5">
        <v>1</v>
      </c>
      <c r="V228" s="5">
        <v>4</v>
      </c>
      <c r="W228" s="6">
        <v>2</v>
      </c>
      <c r="X228" s="5">
        <v>2</v>
      </c>
      <c r="Y228" s="5">
        <v>10.09</v>
      </c>
      <c r="Z228" s="5">
        <v>2</v>
      </c>
      <c r="AA228" s="16">
        <f t="shared" si="6"/>
        <v>1.7568561714214908</v>
      </c>
      <c r="AB228" s="5">
        <v>2</v>
      </c>
      <c r="AF228" s="22" t="s">
        <v>7</v>
      </c>
      <c r="AG228" s="5" t="s">
        <v>22</v>
      </c>
      <c r="AH228" s="5" t="s">
        <v>25</v>
      </c>
      <c r="AI228" s="5" t="s">
        <v>24</v>
      </c>
      <c r="AJ228" s="5">
        <v>2</v>
      </c>
      <c r="AK228" s="5">
        <v>10.09</v>
      </c>
      <c r="AL228" s="5">
        <v>2</v>
      </c>
      <c r="AM228" s="5">
        <f t="shared" si="7"/>
        <v>1.7568561714214908</v>
      </c>
    </row>
    <row r="229" spans="20:39" ht="15.75" thickBot="1">
      <c r="T229" s="5">
        <v>1</v>
      </c>
      <c r="U229" s="5">
        <v>2</v>
      </c>
      <c r="V229" s="5">
        <v>2</v>
      </c>
      <c r="W229" s="6">
        <v>1</v>
      </c>
      <c r="X229" s="5">
        <v>4</v>
      </c>
      <c r="Y229" s="5">
        <v>20.45</v>
      </c>
      <c r="Z229" s="5">
        <v>3</v>
      </c>
      <c r="AA229" s="16">
        <f t="shared" si="6"/>
        <v>3.0013481623830884</v>
      </c>
      <c r="AB229" s="5">
        <v>3</v>
      </c>
      <c r="AF229" s="22" t="s">
        <v>11</v>
      </c>
      <c r="AG229" s="5" t="s">
        <v>8</v>
      </c>
      <c r="AH229" s="5" t="s">
        <v>21</v>
      </c>
      <c r="AI229" s="5" t="s">
        <v>10</v>
      </c>
      <c r="AJ229" s="5">
        <v>4</v>
      </c>
      <c r="AK229" s="5">
        <v>20.45</v>
      </c>
      <c r="AL229" s="5">
        <v>3</v>
      </c>
      <c r="AM229" s="5">
        <f t="shared" si="7"/>
        <v>3.0013481623830884</v>
      </c>
    </row>
    <row r="230" spans="20:39" ht="15.75" thickBot="1">
      <c r="T230" s="5">
        <v>1</v>
      </c>
      <c r="U230" s="5">
        <v>2</v>
      </c>
      <c r="V230" s="5">
        <v>2</v>
      </c>
      <c r="W230" s="6">
        <v>1</v>
      </c>
      <c r="X230" s="5">
        <v>2</v>
      </c>
      <c r="Y230" s="5">
        <v>13.28</v>
      </c>
      <c r="Z230" s="5">
        <v>2.72</v>
      </c>
      <c r="AA230" s="16">
        <f t="shared" si="6"/>
        <v>1.968090051489032</v>
      </c>
      <c r="AB230" s="5">
        <v>2.72</v>
      </c>
      <c r="AF230" s="22" t="s">
        <v>11</v>
      </c>
      <c r="AG230" s="5" t="s">
        <v>8</v>
      </c>
      <c r="AH230" s="5" t="s">
        <v>21</v>
      </c>
      <c r="AI230" s="5" t="s">
        <v>10</v>
      </c>
      <c r="AJ230" s="5">
        <v>2</v>
      </c>
      <c r="AK230" s="5">
        <v>13.28</v>
      </c>
      <c r="AL230" s="5">
        <v>2.72</v>
      </c>
      <c r="AM230" s="5">
        <f t="shared" si="7"/>
        <v>1.968090051489032</v>
      </c>
    </row>
    <row r="231" spans="20:39" ht="15.75" thickBot="1">
      <c r="T231" s="5">
        <v>2</v>
      </c>
      <c r="U231" s="5">
        <v>1</v>
      </c>
      <c r="V231" s="5">
        <v>2</v>
      </c>
      <c r="W231" s="6">
        <v>1</v>
      </c>
      <c r="X231" s="5">
        <v>2</v>
      </c>
      <c r="Y231" s="5">
        <v>22.12</v>
      </c>
      <c r="Z231" s="5">
        <v>2.88</v>
      </c>
      <c r="AA231" s="16">
        <f t="shared" si="6"/>
        <v>2.9099780637147443</v>
      </c>
      <c r="AB231" s="5">
        <v>2.88</v>
      </c>
      <c r="AF231" s="22" t="s">
        <v>7</v>
      </c>
      <c r="AG231" s="5" t="s">
        <v>22</v>
      </c>
      <c r="AH231" s="5" t="s">
        <v>21</v>
      </c>
      <c r="AI231" s="5" t="s">
        <v>10</v>
      </c>
      <c r="AJ231" s="5">
        <v>2</v>
      </c>
      <c r="AK231" s="5">
        <v>22.12</v>
      </c>
      <c r="AL231" s="5">
        <v>2.88</v>
      </c>
      <c r="AM231" s="5">
        <f t="shared" si="7"/>
        <v>2.9099780637147443</v>
      </c>
    </row>
    <row r="232" spans="20:39" ht="15.75" thickBot="1">
      <c r="T232" s="5">
        <v>1</v>
      </c>
      <c r="U232" s="5">
        <v>1</v>
      </c>
      <c r="V232" s="5">
        <v>2</v>
      </c>
      <c r="W232" s="6">
        <v>1</v>
      </c>
      <c r="X232" s="5">
        <v>4</v>
      </c>
      <c r="Y232" s="5">
        <v>24.01</v>
      </c>
      <c r="Z232" s="5">
        <v>2</v>
      </c>
      <c r="AA232" s="16">
        <f t="shared" si="6"/>
        <v>3.4172990613607155</v>
      </c>
      <c r="AB232" s="5">
        <v>2</v>
      </c>
      <c r="AF232" s="22" t="s">
        <v>11</v>
      </c>
      <c r="AG232" s="5" t="s">
        <v>22</v>
      </c>
      <c r="AH232" s="5" t="s">
        <v>21</v>
      </c>
      <c r="AI232" s="5" t="s">
        <v>10</v>
      </c>
      <c r="AJ232" s="5">
        <v>4</v>
      </c>
      <c r="AK232" s="5">
        <v>24.01</v>
      </c>
      <c r="AL232" s="5">
        <v>2</v>
      </c>
      <c r="AM232" s="5">
        <f t="shared" si="7"/>
        <v>3.4172990613607155</v>
      </c>
    </row>
    <row r="233" spans="20:39" ht="15.75" thickBot="1">
      <c r="T233" s="5">
        <v>1</v>
      </c>
      <c r="U233" s="5">
        <v>1</v>
      </c>
      <c r="V233" s="5">
        <v>2</v>
      </c>
      <c r="W233" s="6">
        <v>1</v>
      </c>
      <c r="X233" s="5">
        <v>3</v>
      </c>
      <c r="Y233" s="5">
        <v>15.69</v>
      </c>
      <c r="Z233" s="5">
        <v>3</v>
      </c>
      <c r="AA233" s="16">
        <f t="shared" si="6"/>
        <v>2.4552203701893478</v>
      </c>
      <c r="AB233" s="5">
        <v>3</v>
      </c>
      <c r="AF233" s="22" t="s">
        <v>11</v>
      </c>
      <c r="AG233" s="5" t="s">
        <v>22</v>
      </c>
      <c r="AH233" s="5" t="s">
        <v>21</v>
      </c>
      <c r="AI233" s="5" t="s">
        <v>10</v>
      </c>
      <c r="AJ233" s="5">
        <v>3</v>
      </c>
      <c r="AK233" s="5">
        <v>15.69</v>
      </c>
      <c r="AL233" s="5">
        <v>3</v>
      </c>
      <c r="AM233" s="5">
        <f t="shared" si="7"/>
        <v>2.4552203701893478</v>
      </c>
    </row>
    <row r="234" spans="20:39" ht="15.75" thickBot="1">
      <c r="T234" s="5">
        <v>1</v>
      </c>
      <c r="U234" s="5">
        <v>2</v>
      </c>
      <c r="V234" s="5">
        <v>2</v>
      </c>
      <c r="W234" s="6">
        <v>1</v>
      </c>
      <c r="X234" s="5">
        <v>2</v>
      </c>
      <c r="Y234" s="5">
        <v>11.61</v>
      </c>
      <c r="Z234" s="5">
        <v>3.39</v>
      </c>
      <c r="AA234" s="16">
        <f t="shared" si="6"/>
        <v>1.8109832105894235</v>
      </c>
      <c r="AB234" s="5">
        <v>3.39</v>
      </c>
      <c r="AF234" s="22" t="s">
        <v>11</v>
      </c>
      <c r="AG234" s="5" t="s">
        <v>8</v>
      </c>
      <c r="AH234" s="5" t="s">
        <v>21</v>
      </c>
      <c r="AI234" s="5" t="s">
        <v>10</v>
      </c>
      <c r="AJ234" s="5">
        <v>2</v>
      </c>
      <c r="AK234" s="5">
        <v>11.61</v>
      </c>
      <c r="AL234" s="5">
        <v>3.39</v>
      </c>
      <c r="AM234" s="5">
        <f t="shared" si="7"/>
        <v>1.8109832105894235</v>
      </c>
    </row>
    <row r="235" spans="20:39" ht="15.75" thickBot="1">
      <c r="T235" s="5">
        <v>1</v>
      </c>
      <c r="U235" s="5">
        <v>2</v>
      </c>
      <c r="V235" s="5">
        <v>2</v>
      </c>
      <c r="W235" s="6">
        <v>1</v>
      </c>
      <c r="X235" s="5">
        <v>2</v>
      </c>
      <c r="Y235" s="5">
        <v>10.77</v>
      </c>
      <c r="Z235" s="5">
        <v>1.47</v>
      </c>
      <c r="AA235" s="16">
        <f t="shared" si="6"/>
        <v>1.7319594103764466</v>
      </c>
      <c r="AB235" s="5">
        <v>1.47</v>
      </c>
      <c r="AF235" s="22" t="s">
        <v>11</v>
      </c>
      <c r="AG235" s="5" t="s">
        <v>8</v>
      </c>
      <c r="AH235" s="5" t="s">
        <v>21</v>
      </c>
      <c r="AI235" s="5" t="s">
        <v>10</v>
      </c>
      <c r="AJ235" s="5">
        <v>2</v>
      </c>
      <c r="AK235" s="5">
        <v>10.77</v>
      </c>
      <c r="AL235" s="5">
        <v>1.47</v>
      </c>
      <c r="AM235" s="5">
        <f t="shared" si="7"/>
        <v>1.7319594103764466</v>
      </c>
    </row>
    <row r="236" spans="20:39" ht="15.75" thickBot="1">
      <c r="T236" s="5">
        <v>1</v>
      </c>
      <c r="U236" s="5">
        <v>1</v>
      </c>
      <c r="V236" s="5">
        <v>2</v>
      </c>
      <c r="W236" s="6">
        <v>1</v>
      </c>
      <c r="X236" s="5">
        <v>2</v>
      </c>
      <c r="Y236" s="5">
        <v>15.53</v>
      </c>
      <c r="Z236" s="5">
        <v>3</v>
      </c>
      <c r="AA236" s="16">
        <f t="shared" si="6"/>
        <v>2.2608014525154689</v>
      </c>
      <c r="AB236" s="5">
        <v>3</v>
      </c>
      <c r="AF236" s="22" t="s">
        <v>11</v>
      </c>
      <c r="AG236" s="5" t="s">
        <v>22</v>
      </c>
      <c r="AH236" s="5" t="s">
        <v>21</v>
      </c>
      <c r="AI236" s="5" t="s">
        <v>10</v>
      </c>
      <c r="AJ236" s="5">
        <v>2</v>
      </c>
      <c r="AK236" s="5">
        <v>15.53</v>
      </c>
      <c r="AL236" s="5">
        <v>3</v>
      </c>
      <c r="AM236" s="5">
        <f t="shared" si="7"/>
        <v>2.2608014525154689</v>
      </c>
    </row>
    <row r="237" spans="20:39" ht="15.75" thickBot="1">
      <c r="T237" s="5">
        <v>1</v>
      </c>
      <c r="U237" s="5">
        <v>2</v>
      </c>
      <c r="V237" s="5">
        <v>2</v>
      </c>
      <c r="W237" s="6">
        <v>1</v>
      </c>
      <c r="X237" s="5">
        <v>2</v>
      </c>
      <c r="Y237" s="5">
        <v>10.07</v>
      </c>
      <c r="Z237" s="5">
        <v>1.25</v>
      </c>
      <c r="AA237" s="16">
        <f t="shared" si="6"/>
        <v>1.6661062435322995</v>
      </c>
      <c r="AB237" s="5">
        <v>1.25</v>
      </c>
      <c r="AF237" s="22" t="s">
        <v>11</v>
      </c>
      <c r="AG237" s="5" t="s">
        <v>8</v>
      </c>
      <c r="AH237" s="5" t="s">
        <v>21</v>
      </c>
      <c r="AI237" s="5" t="s">
        <v>10</v>
      </c>
      <c r="AJ237" s="5">
        <v>2</v>
      </c>
      <c r="AK237" s="5">
        <v>10.07</v>
      </c>
      <c r="AL237" s="5">
        <v>1.25</v>
      </c>
      <c r="AM237" s="5">
        <f t="shared" si="7"/>
        <v>1.6661062435322995</v>
      </c>
    </row>
    <row r="238" spans="20:39" ht="15.75" thickBot="1">
      <c r="T238" s="5">
        <v>1</v>
      </c>
      <c r="U238" s="5">
        <v>1</v>
      </c>
      <c r="V238" s="5">
        <v>2</v>
      </c>
      <c r="W238" s="6">
        <v>1</v>
      </c>
      <c r="X238" s="5">
        <v>2</v>
      </c>
      <c r="Y238" s="5">
        <v>12.6</v>
      </c>
      <c r="Z238" s="5">
        <v>1</v>
      </c>
      <c r="AA238" s="16">
        <f t="shared" si="6"/>
        <v>1.9851589112963952</v>
      </c>
      <c r="AB238" s="5">
        <v>1</v>
      </c>
      <c r="AF238" s="22" t="s">
        <v>11</v>
      </c>
      <c r="AG238" s="5" t="s">
        <v>22</v>
      </c>
      <c r="AH238" s="5" t="s">
        <v>21</v>
      </c>
      <c r="AI238" s="5" t="s">
        <v>10</v>
      </c>
      <c r="AJ238" s="5">
        <v>2</v>
      </c>
      <c r="AK238" s="5">
        <v>12.6</v>
      </c>
      <c r="AL238" s="5">
        <v>1</v>
      </c>
      <c r="AM238" s="5">
        <f t="shared" si="7"/>
        <v>1.9851589112963952</v>
      </c>
    </row>
    <row r="239" spans="20:39" ht="15.75" thickBot="1">
      <c r="T239" s="5">
        <v>1</v>
      </c>
      <c r="U239" s="5">
        <v>1</v>
      </c>
      <c r="V239" s="5">
        <v>2</v>
      </c>
      <c r="W239" s="6">
        <v>1</v>
      </c>
      <c r="X239" s="5">
        <v>2</v>
      </c>
      <c r="Y239" s="5">
        <v>32.83</v>
      </c>
      <c r="Z239" s="5">
        <v>1.17</v>
      </c>
      <c r="AA239" s="16">
        <f t="shared" si="6"/>
        <v>3.8883154330922527</v>
      </c>
      <c r="AB239" s="5">
        <v>1.17</v>
      </c>
      <c r="AF239" s="22" t="s">
        <v>11</v>
      </c>
      <c r="AG239" s="5" t="s">
        <v>22</v>
      </c>
      <c r="AH239" s="5" t="s">
        <v>21</v>
      </c>
      <c r="AI239" s="5" t="s">
        <v>10</v>
      </c>
      <c r="AJ239" s="5">
        <v>2</v>
      </c>
      <c r="AK239" s="5">
        <v>32.83</v>
      </c>
      <c r="AL239" s="5">
        <v>1.17</v>
      </c>
      <c r="AM239" s="5">
        <f t="shared" si="7"/>
        <v>3.8883154330922527</v>
      </c>
    </row>
    <row r="240" spans="20:39" ht="15.75" thickBot="1">
      <c r="T240" s="5">
        <v>2</v>
      </c>
      <c r="U240" s="5">
        <v>2</v>
      </c>
      <c r="V240" s="5">
        <v>2</v>
      </c>
      <c r="W240" s="6">
        <v>1</v>
      </c>
      <c r="X240" s="5">
        <v>3</v>
      </c>
      <c r="Y240" s="5">
        <v>35.83</v>
      </c>
      <c r="Z240" s="5">
        <v>4.67</v>
      </c>
      <c r="AA240" s="16">
        <f t="shared" si="6"/>
        <v>4.2980856319872256</v>
      </c>
      <c r="AB240" s="5">
        <v>4.67</v>
      </c>
      <c r="AF240" s="22" t="s">
        <v>7</v>
      </c>
      <c r="AG240" s="5" t="s">
        <v>8</v>
      </c>
      <c r="AH240" s="5" t="s">
        <v>21</v>
      </c>
      <c r="AI240" s="5" t="s">
        <v>10</v>
      </c>
      <c r="AJ240" s="5">
        <v>3</v>
      </c>
      <c r="AK240" s="5">
        <v>35.83</v>
      </c>
      <c r="AL240" s="5">
        <v>4.67</v>
      </c>
      <c r="AM240" s="5">
        <f t="shared" si="7"/>
        <v>4.2980856319872256</v>
      </c>
    </row>
    <row r="241" spans="20:39" ht="15.75" thickBot="1">
      <c r="T241" s="5">
        <v>1</v>
      </c>
      <c r="U241" s="5">
        <v>2</v>
      </c>
      <c r="V241" s="5">
        <v>2</v>
      </c>
      <c r="W241" s="6">
        <v>1</v>
      </c>
      <c r="X241" s="5">
        <v>3</v>
      </c>
      <c r="Y241" s="5">
        <v>29.03</v>
      </c>
      <c r="Z241" s="5">
        <v>5.92</v>
      </c>
      <c r="AA241" s="16">
        <f t="shared" si="6"/>
        <v>3.6291530707347066</v>
      </c>
      <c r="AB241" s="5">
        <v>5.92</v>
      </c>
      <c r="AF241" s="22" t="s">
        <v>11</v>
      </c>
      <c r="AG241" s="5" t="s">
        <v>8</v>
      </c>
      <c r="AH241" s="5" t="s">
        <v>21</v>
      </c>
      <c r="AI241" s="5" t="s">
        <v>10</v>
      </c>
      <c r="AJ241" s="5">
        <v>3</v>
      </c>
      <c r="AK241" s="5">
        <v>29.03</v>
      </c>
      <c r="AL241" s="5">
        <v>5.92</v>
      </c>
      <c r="AM241" s="5">
        <f t="shared" si="7"/>
        <v>3.6291530707347066</v>
      </c>
    </row>
    <row r="242" spans="20:39" ht="15.75" thickBot="1">
      <c r="T242" s="5">
        <v>2</v>
      </c>
      <c r="U242" s="5">
        <v>1</v>
      </c>
      <c r="V242" s="5">
        <v>2</v>
      </c>
      <c r="W242" s="6">
        <v>1</v>
      </c>
      <c r="X242" s="5">
        <v>2</v>
      </c>
      <c r="Y242" s="5">
        <v>27.18</v>
      </c>
      <c r="Z242" s="5">
        <v>2</v>
      </c>
      <c r="AA242" s="16">
        <f t="shared" si="6"/>
        <v>3.3860023840452946</v>
      </c>
      <c r="AB242" s="5">
        <v>2</v>
      </c>
      <c r="AF242" s="22" t="s">
        <v>7</v>
      </c>
      <c r="AG242" s="5" t="s">
        <v>22</v>
      </c>
      <c r="AH242" s="5" t="s">
        <v>21</v>
      </c>
      <c r="AI242" s="5" t="s">
        <v>10</v>
      </c>
      <c r="AJ242" s="5">
        <v>2</v>
      </c>
      <c r="AK242" s="5">
        <v>27.18</v>
      </c>
      <c r="AL242" s="5">
        <v>2</v>
      </c>
      <c r="AM242" s="5">
        <f t="shared" si="7"/>
        <v>3.3860023840452946</v>
      </c>
    </row>
    <row r="243" spans="20:39" ht="15.75" thickBot="1">
      <c r="T243" s="5">
        <v>1</v>
      </c>
      <c r="U243" s="5">
        <v>1</v>
      </c>
      <c r="V243" s="5">
        <v>2</v>
      </c>
      <c r="W243" s="6">
        <v>1</v>
      </c>
      <c r="X243" s="5">
        <v>2</v>
      </c>
      <c r="Y243" s="5">
        <v>22.67</v>
      </c>
      <c r="Z243" s="5">
        <v>2</v>
      </c>
      <c r="AA243" s="16">
        <f t="shared" si="6"/>
        <v>2.9325037543257717</v>
      </c>
      <c r="AB243" s="5">
        <v>2</v>
      </c>
      <c r="AF243" s="22" t="s">
        <v>11</v>
      </c>
      <c r="AG243" s="5" t="s">
        <v>22</v>
      </c>
      <c r="AH243" s="5" t="s">
        <v>21</v>
      </c>
      <c r="AI243" s="5" t="s">
        <v>10</v>
      </c>
      <c r="AJ243" s="5">
        <v>2</v>
      </c>
      <c r="AK243" s="5">
        <v>22.67</v>
      </c>
      <c r="AL243" s="5">
        <v>2</v>
      </c>
      <c r="AM243" s="5">
        <f t="shared" si="7"/>
        <v>2.9325037543257717</v>
      </c>
    </row>
    <row r="244" spans="20:39" ht="15.75" thickBot="1">
      <c r="T244" s="5">
        <v>1</v>
      </c>
      <c r="U244" s="5">
        <v>2</v>
      </c>
      <c r="V244" s="5">
        <v>2</v>
      </c>
      <c r="W244" s="6">
        <v>1</v>
      </c>
      <c r="X244" s="5">
        <v>2</v>
      </c>
      <c r="Y244" s="5">
        <v>17.82</v>
      </c>
      <c r="Z244" s="5">
        <v>1.75</v>
      </c>
      <c r="AA244" s="16">
        <f t="shared" si="6"/>
        <v>2.3951948764496445</v>
      </c>
      <c r="AB244" s="5">
        <v>1.75</v>
      </c>
      <c r="AF244" s="22" t="s">
        <v>11</v>
      </c>
      <c r="AG244" s="5" t="s">
        <v>8</v>
      </c>
      <c r="AH244" s="5" t="s">
        <v>21</v>
      </c>
      <c r="AI244" s="5" t="s">
        <v>10</v>
      </c>
      <c r="AJ244" s="5">
        <v>2</v>
      </c>
      <c r="AK244" s="5">
        <v>17.82</v>
      </c>
      <c r="AL244" s="5">
        <v>1.75</v>
      </c>
      <c r="AM244" s="5">
        <f t="shared" si="7"/>
        <v>2.3951948764496445</v>
      </c>
    </row>
    <row r="245" spans="20:39" ht="15.75" thickBot="1">
      <c r="T245" s="7">
        <v>2</v>
      </c>
      <c r="U245" s="7">
        <v>2</v>
      </c>
      <c r="V245" s="7">
        <v>3</v>
      </c>
      <c r="W245" s="8">
        <v>1</v>
      </c>
      <c r="X245" s="7">
        <v>2</v>
      </c>
      <c r="Y245" s="7">
        <v>18.78</v>
      </c>
      <c r="Z245" s="7">
        <v>3</v>
      </c>
      <c r="AA245" s="16">
        <f t="shared" si="6"/>
        <v>2.5068900533211611</v>
      </c>
      <c r="AB245" s="7">
        <v>3</v>
      </c>
      <c r="AF245" s="23" t="s">
        <v>7</v>
      </c>
      <c r="AG245" s="7" t="s">
        <v>8</v>
      </c>
      <c r="AH245" s="7" t="s">
        <v>23</v>
      </c>
      <c r="AI245" s="7" t="s">
        <v>10</v>
      </c>
      <c r="AJ245" s="7">
        <v>2</v>
      </c>
      <c r="AK245" s="7">
        <v>18.78</v>
      </c>
      <c r="AL245" s="7">
        <v>3</v>
      </c>
      <c r="AM245" s="5">
        <f t="shared" si="7"/>
        <v>2.5068900533211611</v>
      </c>
    </row>
    <row r="246" spans="20:39">
      <c r="Z246" t="s">
        <v>97</v>
      </c>
      <c r="AA246" s="26">
        <f>SUM(AA2:AA245)</f>
        <v>663.98838196880695</v>
      </c>
      <c r="AB246" s="26">
        <f>SUM(AB2:AB245)</f>
        <v>731.58</v>
      </c>
      <c r="AM246" s="26"/>
    </row>
    <row r="247" spans="20:39">
      <c r="Z247" t="s">
        <v>98</v>
      </c>
      <c r="AA247" s="26">
        <f>AVERAGE(AA2:AA245)</f>
        <v>2.7212638605278974</v>
      </c>
      <c r="AB247" s="26">
        <f>AVERAGE(AB2:AB245)</f>
        <v>2.9982786885245902</v>
      </c>
      <c r="AM247" s="26"/>
    </row>
  </sheetData>
  <conditionalFormatting sqref="K2:R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43B7-CA42-409E-965C-419054AD560D}">
  <dimension ref="A1"/>
  <sheetViews>
    <sheetView showGridLines="0" workbookViewId="0">
      <selection activeCell="T17" sqref="T17"/>
    </sheetView>
  </sheetViews>
  <sheetFormatPr defaultRowHeight="15"/>
  <cols>
    <col min="1" max="16384" width="9.140625" style="20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EEB1-C62A-4731-92DF-E9DAB40951E8}">
  <dimension ref="E2:S20"/>
  <sheetViews>
    <sheetView showGridLines="0" tabSelected="1" workbookViewId="0">
      <selection activeCell="G4" sqref="G4"/>
    </sheetView>
  </sheetViews>
  <sheetFormatPr defaultRowHeight="15"/>
  <cols>
    <col min="1" max="10" width="9.140625" style="20"/>
    <col min="11" max="11" width="14" style="20" customWidth="1"/>
    <col min="12" max="13" width="9.140625" style="20"/>
    <col min="14" max="14" width="14.42578125" style="20" bestFit="1" customWidth="1"/>
    <col min="15" max="16384" width="9.140625" style="20"/>
  </cols>
  <sheetData>
    <row r="2" spans="5:19">
      <c r="G2" s="32" t="s">
        <v>0</v>
      </c>
      <c r="H2" s="33" t="s">
        <v>1</v>
      </c>
      <c r="I2" s="33" t="s">
        <v>2</v>
      </c>
      <c r="J2" s="33" t="s">
        <v>3</v>
      </c>
      <c r="K2" s="33" t="s">
        <v>4</v>
      </c>
      <c r="L2" s="33" t="s">
        <v>5</v>
      </c>
      <c r="M2" s="33" t="s">
        <v>37</v>
      </c>
      <c r="N2" s="32" t="s">
        <v>95</v>
      </c>
    </row>
    <row r="3" spans="5:19">
      <c r="E3" s="34"/>
      <c r="G3" s="21" t="str">
        <f ca="1">OFFSET(Working!AF2,Working!$AV$6,0)</f>
        <v>Female</v>
      </c>
      <c r="H3" s="21" t="str">
        <f ca="1">OFFSET(Working!AG2,Working!$AV$6,0)</f>
        <v>No</v>
      </c>
      <c r="I3" s="21" t="str">
        <f ca="1">OFFSET(Working!AH2,Working!$AV$6,0)</f>
        <v>Sun</v>
      </c>
      <c r="J3" s="21" t="str">
        <f ca="1">OFFSET(Working!AI2,Working!$AV$6,0)</f>
        <v>Dinner</v>
      </c>
      <c r="K3" s="21">
        <f ca="1">OFFSET(Working!AJ2,Working!$AV$6,0)</f>
        <v>2</v>
      </c>
      <c r="L3" s="21">
        <f ca="1">OFFSET(Working!AK2,Working!$AV$6,0)</f>
        <v>16.989999999999998</v>
      </c>
      <c r="M3" s="21">
        <f ca="1">OFFSET(Working!AL2,Working!$AV$6,0)</f>
        <v>1.01</v>
      </c>
      <c r="N3" s="21">
        <f ca="1">OFFSET(Working!AM2,Working!$AV$6,0)</f>
        <v>2.3541617400965031</v>
      </c>
    </row>
    <row r="4" spans="5:19">
      <c r="G4" s="21" t="str">
        <f ca="1">OFFSET(Working!AF3,Working!$AV$6,0)</f>
        <v>Male</v>
      </c>
      <c r="H4" s="21" t="str">
        <f ca="1">OFFSET(Working!AG3,Working!$AV$6,0)</f>
        <v>No</v>
      </c>
      <c r="I4" s="21" t="str">
        <f ca="1">OFFSET(Working!AH3,Working!$AV$6,0)</f>
        <v>Sun</v>
      </c>
      <c r="J4" s="21" t="str">
        <f ca="1">OFFSET(Working!AI3,Working!$AV$6,0)</f>
        <v>Dinner</v>
      </c>
      <c r="K4" s="21">
        <f ca="1">OFFSET(Working!AJ3,Working!$AV$6,0)</f>
        <v>3</v>
      </c>
      <c r="L4" s="21">
        <f ca="1">OFFSET(Working!AK3,Working!$AV$6,0)</f>
        <v>10.34</v>
      </c>
      <c r="M4" s="21">
        <f ca="1">OFFSET(Working!AL3,Working!$AV$6,0)</f>
        <v>1.66</v>
      </c>
      <c r="N4" s="21">
        <f ca="1">OFFSET(Working!AM3,Working!$AV$6,0)</f>
        <v>1.8787073369915182</v>
      </c>
    </row>
    <row r="5" spans="5:19">
      <c r="G5" s="21" t="str">
        <f ca="1">OFFSET(Working!AF4,Working!$AV$6,0)</f>
        <v>Male</v>
      </c>
      <c r="H5" s="21" t="str">
        <f ca="1">OFFSET(Working!AG4,Working!$AV$6,0)</f>
        <v>No</v>
      </c>
      <c r="I5" s="21" t="str">
        <f ca="1">OFFSET(Working!AH4,Working!$AV$6,0)</f>
        <v>Sun</v>
      </c>
      <c r="J5" s="21" t="str">
        <f ca="1">OFFSET(Working!AI4,Working!$AV$6,0)</f>
        <v>Dinner</v>
      </c>
      <c r="K5" s="21">
        <f ca="1">OFFSET(Working!AJ4,Working!$AV$6,0)</f>
        <v>3</v>
      </c>
      <c r="L5" s="21">
        <f ca="1">OFFSET(Working!AK4,Working!$AV$6,0)</f>
        <v>21.01</v>
      </c>
      <c r="M5" s="21">
        <f ca="1">OFFSET(Working!AL4,Working!$AV$6,0)</f>
        <v>3.5</v>
      </c>
      <c r="N5" s="21">
        <f ca="1">OFFSET(Working!AM4,Working!$AV$6,0)</f>
        <v>2.8824977516015924</v>
      </c>
    </row>
    <row r="6" spans="5:19">
      <c r="G6" s="21" t="str">
        <f ca="1">OFFSET(Working!AF5,Working!$AV$6,0)</f>
        <v>Male</v>
      </c>
      <c r="H6" s="21" t="str">
        <f ca="1">OFFSET(Working!AG5,Working!$AV$6,0)</f>
        <v>No</v>
      </c>
      <c r="I6" s="21" t="str">
        <f ca="1">OFFSET(Working!AH5,Working!$AV$6,0)</f>
        <v>Sun</v>
      </c>
      <c r="J6" s="21" t="str">
        <f ca="1">OFFSET(Working!AI5,Working!$AV$6,0)</f>
        <v>Dinner</v>
      </c>
      <c r="K6" s="21">
        <f ca="1">OFFSET(Working!AJ5,Working!$AV$6,0)</f>
        <v>2</v>
      </c>
      <c r="L6" s="21">
        <f ca="1">OFFSET(Working!AK5,Working!$AV$6,0)</f>
        <v>23.68</v>
      </c>
      <c r="M6" s="21">
        <f ca="1">OFFSET(Working!AL5,Working!$AV$6,0)</f>
        <v>3.31</v>
      </c>
      <c r="N6" s="21">
        <f ca="1">OFFSET(Working!AM5,Working!$AV$6,0)</f>
        <v>2.9543137798833374</v>
      </c>
    </row>
    <row r="7" spans="5:19">
      <c r="G7" s="21" t="str">
        <f ca="1">OFFSET(Working!AF6,Working!$AV$6,0)</f>
        <v>Female</v>
      </c>
      <c r="H7" s="21" t="str">
        <f ca="1">OFFSET(Working!AG6,Working!$AV$6,0)</f>
        <v>No</v>
      </c>
      <c r="I7" s="21" t="str">
        <f ca="1">OFFSET(Working!AH6,Working!$AV$6,0)</f>
        <v>Sun</v>
      </c>
      <c r="J7" s="21" t="str">
        <f ca="1">OFFSET(Working!AI6,Working!$AV$6,0)</f>
        <v>Dinner</v>
      </c>
      <c r="K7" s="21">
        <f ca="1">OFFSET(Working!AJ6,Working!$AV$6,0)</f>
        <v>4</v>
      </c>
      <c r="L7" s="21">
        <f ca="1">OFFSET(Working!AK6,Working!$AV$6,0)</f>
        <v>24.59</v>
      </c>
      <c r="M7" s="21">
        <f ca="1">OFFSET(Working!AL6,Working!$AV$6,0)</f>
        <v>3.61</v>
      </c>
      <c r="N7" s="21">
        <f ca="1">OFFSET(Working!AM6,Working!$AV$6,0)</f>
        <v>3.4278725106233932</v>
      </c>
    </row>
    <row r="8" spans="5:19">
      <c r="G8" s="21" t="str">
        <f ca="1">OFFSET(Working!AF7,Working!$AV$6,0)</f>
        <v>Male</v>
      </c>
      <c r="H8" s="21" t="str">
        <f ca="1">OFFSET(Working!AG7,Working!$AV$6,0)</f>
        <v>No</v>
      </c>
      <c r="I8" s="21" t="str">
        <f ca="1">OFFSET(Working!AH7,Working!$AV$6,0)</f>
        <v>Sun</v>
      </c>
      <c r="J8" s="21" t="str">
        <f ca="1">OFFSET(Working!AI7,Working!$AV$6,0)</f>
        <v>Dinner</v>
      </c>
      <c r="K8" s="21">
        <f ca="1">OFFSET(Working!AJ7,Working!$AV$6,0)</f>
        <v>4</v>
      </c>
      <c r="L8" s="21">
        <f ca="1">OFFSET(Working!AK7,Working!$AV$6,0)</f>
        <v>25.29</v>
      </c>
      <c r="M8" s="21">
        <f ca="1">OFFSET(Working!AL7,Working!$AV$6,0)</f>
        <v>4.71</v>
      </c>
      <c r="N8" s="21">
        <f ca="1">OFFSET(Working!AM7,Working!$AV$6,0)</f>
        <v>3.4645095941295949</v>
      </c>
    </row>
    <row r="9" spans="5:19">
      <c r="G9" s="21" t="str">
        <f ca="1">OFFSET(Working!AF8,Working!$AV$6,0)</f>
        <v>Male</v>
      </c>
      <c r="H9" s="21" t="str">
        <f ca="1">OFFSET(Working!AG8,Working!$AV$6,0)</f>
        <v>No</v>
      </c>
      <c r="I9" s="21" t="str">
        <f ca="1">OFFSET(Working!AH8,Working!$AV$6,0)</f>
        <v>Sun</v>
      </c>
      <c r="J9" s="21" t="str">
        <f ca="1">OFFSET(Working!AI8,Working!$AV$6,0)</f>
        <v>Dinner</v>
      </c>
      <c r="K9" s="21">
        <f ca="1">OFFSET(Working!AJ8,Working!$AV$6,0)</f>
        <v>2</v>
      </c>
      <c r="L9" s="21">
        <f ca="1">OFFSET(Working!AK8,Working!$AV$6,0)</f>
        <v>8.77</v>
      </c>
      <c r="M9" s="21">
        <f ca="1">OFFSET(Working!AL8,Working!$AV$6,0)</f>
        <v>2</v>
      </c>
      <c r="N9" s="21">
        <f ca="1">OFFSET(Working!AM8,Working!$AV$6,0)</f>
        <v>1.5516413261029998</v>
      </c>
    </row>
    <row r="10" spans="5:19">
      <c r="G10" s="21" t="str">
        <f ca="1">OFFSET(Working!AF9,Working!$AV$6,0)</f>
        <v>Male</v>
      </c>
      <c r="H10" s="21" t="str">
        <f ca="1">OFFSET(Working!AG9,Working!$AV$6,0)</f>
        <v>No</v>
      </c>
      <c r="I10" s="21" t="str">
        <f ca="1">OFFSET(Working!AH9,Working!$AV$6,0)</f>
        <v>Sun</v>
      </c>
      <c r="J10" s="21" t="str">
        <f ca="1">OFFSET(Working!AI9,Working!$AV$6,0)</f>
        <v>Dinner</v>
      </c>
      <c r="K10" s="21">
        <f ca="1">OFFSET(Working!AJ9,Working!$AV$6,0)</f>
        <v>4</v>
      </c>
      <c r="L10" s="21">
        <f ca="1">OFFSET(Working!AK9,Working!$AV$6,0)</f>
        <v>26.88</v>
      </c>
      <c r="M10" s="21">
        <f ca="1">OFFSET(Working!AL9,Working!$AV$6,0)</f>
        <v>3.12</v>
      </c>
      <c r="N10" s="21">
        <f ca="1">OFFSET(Working!AM9,Working!$AV$6,0)</f>
        <v>3.6140903588184443</v>
      </c>
    </row>
    <row r="12" spans="5:19" ht="15.75" thickBot="1"/>
    <row r="13" spans="5:19">
      <c r="L13" s="27"/>
      <c r="M13" s="27" t="s">
        <v>37</v>
      </c>
      <c r="N13" s="27" t="s">
        <v>4</v>
      </c>
      <c r="O13" s="27" t="s">
        <v>5</v>
      </c>
      <c r="P13" s="27" t="s">
        <v>30</v>
      </c>
      <c r="Q13" s="27" t="s">
        <v>31</v>
      </c>
      <c r="R13" s="27" t="s">
        <v>32</v>
      </c>
      <c r="S13" s="27" t="s">
        <v>10</v>
      </c>
    </row>
    <row r="14" spans="5:19">
      <c r="L14" s="28" t="s">
        <v>37</v>
      </c>
      <c r="M14" s="29">
        <v>1</v>
      </c>
      <c r="N14" s="28"/>
      <c r="O14" s="28"/>
      <c r="P14" s="28"/>
      <c r="Q14" s="28"/>
      <c r="R14" s="28"/>
      <c r="S14" s="28"/>
    </row>
    <row r="15" spans="5:19">
      <c r="L15" s="28" t="s">
        <v>4</v>
      </c>
      <c r="M15" s="29">
        <v>0.48929877523035786</v>
      </c>
      <c r="N15" s="29">
        <v>1</v>
      </c>
      <c r="O15" s="28"/>
      <c r="P15" s="28"/>
      <c r="Q15" s="28"/>
      <c r="R15" s="28"/>
      <c r="S15" s="28"/>
    </row>
    <row r="16" spans="5:19">
      <c r="L16" s="28" t="s">
        <v>5</v>
      </c>
      <c r="M16" s="29">
        <v>0.67573410921136434</v>
      </c>
      <c r="N16" s="29">
        <v>0.59831513090490263</v>
      </c>
      <c r="O16" s="29">
        <v>1</v>
      </c>
      <c r="P16" s="28"/>
      <c r="Q16" s="28"/>
      <c r="R16" s="28"/>
      <c r="S16" s="28"/>
    </row>
    <row r="17" spans="12:19">
      <c r="L17" s="28" t="s">
        <v>30</v>
      </c>
      <c r="M17" s="29">
        <v>-8.8862061090736341E-2</v>
      </c>
      <c r="N17" s="29">
        <v>-8.6194815382524506E-2</v>
      </c>
      <c r="O17" s="29">
        <v>-0.14487733703816522</v>
      </c>
      <c r="P17" s="29">
        <v>1</v>
      </c>
      <c r="Q17" s="28"/>
      <c r="R17" s="28"/>
      <c r="S17" s="28"/>
    </row>
    <row r="18" spans="12:19">
      <c r="L18" s="28" t="s">
        <v>31</v>
      </c>
      <c r="M18" s="29">
        <v>-5.9285395278066162E-3</v>
      </c>
      <c r="N18" s="29">
        <v>0.13317824602877759</v>
      </c>
      <c r="O18" s="29">
        <v>-8.5721257322847813E-2</v>
      </c>
      <c r="P18" s="29">
        <v>2.8159517336962246E-3</v>
      </c>
      <c r="Q18" s="29">
        <v>1</v>
      </c>
      <c r="R18" s="28"/>
      <c r="S18" s="28"/>
    </row>
    <row r="19" spans="12:19">
      <c r="L19" s="28" t="s">
        <v>32</v>
      </c>
      <c r="M19" s="29">
        <v>-0.13894711856743439</v>
      </c>
      <c r="N19" s="29">
        <v>-0.2117502072850479</v>
      </c>
      <c r="O19" s="29">
        <v>-0.17531196879448163</v>
      </c>
      <c r="P19" s="29">
        <v>0.21537409198654681</v>
      </c>
      <c r="Q19" s="29">
        <v>-0.17081844613899894</v>
      </c>
      <c r="R19" s="29">
        <v>1</v>
      </c>
      <c r="S19" s="28"/>
    </row>
    <row r="20" spans="12:19" ht="15.75" thickBot="1">
      <c r="L20" s="30" t="s">
        <v>10</v>
      </c>
      <c r="M20" s="31">
        <v>-0.12162906226028659</v>
      </c>
      <c r="N20" s="31">
        <v>-0.10341090969324034</v>
      </c>
      <c r="O20" s="31">
        <v>-0.18311760533651472</v>
      </c>
      <c r="P20" s="31">
        <v>0.20523129613344498</v>
      </c>
      <c r="Q20" s="31">
        <v>5.492110359570699E-2</v>
      </c>
      <c r="R20" s="31">
        <v>0.67047036201743682</v>
      </c>
      <c r="S20" s="31">
        <v>1</v>
      </c>
    </row>
  </sheetData>
  <conditionalFormatting sqref="L13:S2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3" name="Scroll Bar 5">
              <controlPr defaultSize="0" autoPict="0">
                <anchor moveWithCells="1">
                  <from>
                    <xdr:col>14</xdr:col>
                    <xdr:colOff>114300</xdr:colOff>
                    <xdr:row>1</xdr:row>
                    <xdr:rowOff>9525</xdr:rowOff>
                  </from>
                  <to>
                    <xdr:col>14</xdr:col>
                    <xdr:colOff>333375</xdr:colOff>
                    <xdr:row>9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tips</vt:lpstr>
      <vt:lpstr>Working</vt:lpstr>
      <vt:lpstr>Home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Shivangi Mehrotra</cp:lastModifiedBy>
  <cp:revision/>
  <dcterms:created xsi:type="dcterms:W3CDTF">2021-10-26T16:10:41Z</dcterms:created>
  <dcterms:modified xsi:type="dcterms:W3CDTF">2026-03-01T07:33:39Z</dcterms:modified>
  <cp:category/>
  <cp:contentStatus/>
</cp:coreProperties>
</file>